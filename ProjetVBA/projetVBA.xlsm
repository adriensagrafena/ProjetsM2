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drien\Desktop\MASTER2SEP 21-22\année2021-2022\VB-VBA\BIOCOOP\"/>
    </mc:Choice>
  </mc:AlternateContent>
  <xr:revisionPtr revIDLastSave="0" documentId="13_ncr:1_{59DEE40F-0E44-49D5-9FCE-BBD5AAA36475}" xr6:coauthVersionLast="47" xr6:coauthVersionMax="47" xr10:uidLastSave="{00000000-0000-0000-0000-000000000000}"/>
  <bookViews>
    <workbookView xWindow="-120" yWindow="-120" windowWidth="29040" windowHeight="15840" tabRatio="645" xr2:uid="{A6438A56-A79F-7C4E-9449-C99862662899}"/>
  </bookViews>
  <sheets>
    <sheet name="Notice" sheetId="58" r:id="rId1"/>
    <sheet name="Données" sheetId="4" r:id="rId2"/>
    <sheet name="Modèle" sheetId="1" r:id="rId3"/>
    <sheet name="Congés" sheetId="2" r:id="rId4"/>
    <sheet name="Données de paie" sheetId="3" r:id="rId5"/>
  </sheets>
  <functionGroups builtInGroupCount="19"/>
  <definedNames>
    <definedName name="toto">'Données de paie'!$A$1:$A$22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3" l="1"/>
  <c r="F9" i="3" s="1"/>
  <c r="O12" i="4"/>
  <c r="O11" i="4"/>
  <c r="O10" i="4"/>
  <c r="O9" i="4"/>
  <c r="O8" i="4"/>
  <c r="O7" i="4"/>
  <c r="O6" i="4"/>
  <c r="O5" i="4"/>
  <c r="O4" i="4"/>
  <c r="O3" i="4"/>
  <c r="O2" i="4"/>
  <c r="O1" i="4"/>
  <c r="G203" i="1" l="1"/>
  <c r="CV29" i="2"/>
  <c r="EK29" i="2"/>
  <c r="W145" i="1"/>
  <c r="AE34" i="1"/>
  <c r="AA116" i="1"/>
  <c r="LQ29" i="2"/>
  <c r="IV29" i="2"/>
  <c r="L58" i="1"/>
  <c r="AE23" i="1"/>
  <c r="S58" i="1"/>
  <c r="N29" i="1"/>
  <c r="AE187" i="1"/>
  <c r="AE102" i="1"/>
  <c r="AA203" i="1"/>
  <c r="AE130" i="1"/>
  <c r="NC20" i="2" a="1"/>
  <c r="JJ29" i="2"/>
  <c r="G116" i="1"/>
  <c r="AC203" i="1"/>
  <c r="D145" i="1"/>
  <c r="P203" i="1"/>
  <c r="DZ29" i="2"/>
  <c r="AE197" i="1"/>
  <c r="CR29" i="2"/>
  <c r="AE25" i="1"/>
  <c r="AE101" i="1"/>
  <c r="AE55" i="1"/>
  <c r="X29" i="1"/>
  <c r="ER29" i="2"/>
  <c r="GT29" i="2"/>
  <c r="J145" i="1"/>
  <c r="AE38" i="1"/>
  <c r="FS29" i="2"/>
  <c r="AE96" i="1"/>
  <c r="AE133" i="1"/>
  <c r="AE143" i="1"/>
  <c r="IS29" i="2"/>
  <c r="I29" i="1"/>
  <c r="M87" i="1"/>
  <c r="AE52" i="1"/>
  <c r="AE92" i="1"/>
  <c r="AE11" i="1"/>
  <c r="HP29" i="2"/>
  <c r="HA29" i="2"/>
  <c r="BB29" i="2"/>
  <c r="AP29" i="2"/>
  <c r="T87" i="1"/>
  <c r="U87" i="1"/>
  <c r="KW29" i="2"/>
  <c r="AG29" i="2"/>
  <c r="MW29" i="2"/>
  <c r="LR29" i="2"/>
  <c r="T58" i="1"/>
  <c r="CQ29" i="2"/>
  <c r="P116" i="1"/>
  <c r="AE138" i="1"/>
  <c r="AE171" i="1"/>
  <c r="BU29" i="2"/>
  <c r="AE126" i="1"/>
  <c r="AE141" i="1"/>
  <c r="AE158" i="1"/>
  <c r="HS29" i="2"/>
  <c r="S145" i="1"/>
  <c r="FQ29" i="2"/>
  <c r="J29" i="2"/>
  <c r="FN29" i="2"/>
  <c r="KP29" i="2"/>
  <c r="KN29" i="2"/>
  <c r="EL29" i="2"/>
  <c r="DK29" i="2"/>
  <c r="IB29" i="2"/>
  <c r="AE14" i="1"/>
  <c r="IY29" i="2"/>
  <c r="BA29" i="2"/>
  <c r="AE80" i="1"/>
  <c r="NC5" i="2" a="1"/>
  <c r="AE4" i="1"/>
  <c r="AE178" i="1"/>
  <c r="J116" i="1"/>
  <c r="R116" i="1"/>
  <c r="FY29" i="2"/>
  <c r="KX29" i="2"/>
  <c r="LX29" i="2"/>
  <c r="FZ29" i="2"/>
  <c r="AC174" i="1"/>
  <c r="AE150" i="1"/>
  <c r="AE65" i="1"/>
  <c r="AC116" i="1"/>
  <c r="GY29" i="2"/>
  <c r="IX29" i="2"/>
  <c r="MS29" i="2"/>
  <c r="IN29" i="2"/>
  <c r="EU29" i="2"/>
  <c r="JY29" i="2"/>
  <c r="J203" i="1"/>
  <c r="DV29" i="2"/>
  <c r="AE105" i="1"/>
  <c r="AE16" i="1"/>
  <c r="IH29" i="2"/>
  <c r="AB116" i="1"/>
  <c r="IR29" i="2"/>
  <c r="T203" i="1"/>
  <c r="AE79" i="1"/>
  <c r="CO29" i="2"/>
  <c r="GJ29" i="2"/>
  <c r="FG29" i="2"/>
  <c r="IP29" i="2"/>
  <c r="C29" i="1"/>
  <c r="F116" i="1"/>
  <c r="ET29" i="2"/>
  <c r="AE10" i="1"/>
  <c r="LF29" i="2"/>
  <c r="Z116" i="1"/>
  <c r="AE124" i="1"/>
  <c r="BZ29" i="2"/>
  <c r="AA145" i="1"/>
  <c r="B87" i="1"/>
  <c r="AE100" i="1"/>
  <c r="AE193" i="1"/>
  <c r="LH29" i="2"/>
  <c r="MX29" i="2"/>
  <c r="H29" i="2" a="1"/>
  <c r="Y203" i="1"/>
  <c r="JL29" i="2"/>
  <c r="I203" i="1"/>
  <c r="AA174" i="1"/>
  <c r="AE173" i="1"/>
  <c r="FX29" i="2"/>
  <c r="KH29" i="2"/>
  <c r="NC10" i="2" a="1"/>
  <c r="V145" i="1"/>
  <c r="CT29" i="2"/>
  <c r="AE137" i="1"/>
  <c r="MO29" i="2"/>
  <c r="MA29" i="2"/>
  <c r="V174" i="1"/>
  <c r="DN29" i="2"/>
  <c r="AE61" i="1"/>
  <c r="AC87" i="1"/>
  <c r="AE198" i="1"/>
  <c r="BI29" i="2"/>
  <c r="CF29" i="2"/>
  <c r="AE20" i="1"/>
  <c r="NB29" i="2"/>
  <c r="LK29" i="2"/>
  <c r="K29" i="2"/>
  <c r="AE172" i="1"/>
  <c r="FA29" i="2"/>
  <c r="LD29" i="2"/>
  <c r="AE63" i="1"/>
  <c r="KB29" i="2"/>
  <c r="E87" i="1"/>
  <c r="IM29" i="2"/>
  <c r="O58" i="1"/>
  <c r="GH29" i="2"/>
  <c r="AE70" i="1"/>
  <c r="HI29" i="2"/>
  <c r="GM29" i="2"/>
  <c r="AE103" i="1"/>
  <c r="V29" i="2"/>
  <c r="P58" i="1"/>
  <c r="AE190" i="1"/>
  <c r="IT29" i="2"/>
  <c r="NC6" i="2" a="1"/>
  <c r="AF29" i="2"/>
  <c r="HF29" i="2"/>
  <c r="M58" i="1"/>
  <c r="AE165" i="1"/>
  <c r="FU29" i="2"/>
  <c r="MB29" i="2"/>
  <c r="AE196" i="1"/>
  <c r="AE144" i="1"/>
  <c r="U174" i="1"/>
  <c r="K203" i="1"/>
  <c r="N29" i="2"/>
  <c r="Z87" i="1"/>
  <c r="AE85" i="1"/>
  <c r="AE164" i="1"/>
  <c r="AE54" i="1"/>
  <c r="AE8" i="1"/>
  <c r="D116" i="1"/>
  <c r="EH29" i="2"/>
  <c r="BH29" i="2"/>
  <c r="GZ29" i="2"/>
  <c r="FK29" i="2"/>
  <c r="AB29" i="1"/>
  <c r="U58" i="1"/>
  <c r="F29" i="1"/>
  <c r="FI29" i="2"/>
  <c r="DU29" i="2"/>
  <c r="NC23" i="2" a="1"/>
  <c r="P87" i="1"/>
  <c r="L87" i="1"/>
  <c r="AE50" i="1"/>
  <c r="AE43" i="1"/>
  <c r="E174" i="1"/>
  <c r="E29" i="2"/>
  <c r="EE29" i="2"/>
  <c r="K29" i="1"/>
  <c r="EA29" i="2"/>
  <c r="MT29" i="2"/>
  <c r="M116" i="1"/>
  <c r="HB29" i="2"/>
  <c r="W174" i="1"/>
  <c r="AE186" i="1"/>
  <c r="Z174" i="1"/>
  <c r="N58" i="1"/>
  <c r="AE191" i="1"/>
  <c r="HY29" i="2"/>
  <c r="AW29" i="2"/>
  <c r="O29" i="1"/>
  <c r="BR29" i="2"/>
  <c r="C29" i="2"/>
  <c r="EV29" i="2"/>
  <c r="JP29" i="2"/>
  <c r="KC29" i="2"/>
  <c r="AE115" i="1"/>
  <c r="AA87" i="1"/>
  <c r="I116" i="1"/>
  <c r="AE183" i="1"/>
  <c r="CW29" i="2"/>
  <c r="ES29" i="2"/>
  <c r="B145" i="1"/>
  <c r="FC29" i="2"/>
  <c r="AE19" i="1"/>
  <c r="AE95" i="1"/>
  <c r="AE53" i="1"/>
  <c r="AC29" i="2"/>
  <c r="K174" i="1"/>
  <c r="K116" i="1"/>
  <c r="AE184" i="1"/>
  <c r="AB203" i="1"/>
  <c r="C87" i="1"/>
  <c r="Q58" i="1"/>
  <c r="AE200" i="1"/>
  <c r="AA29" i="2"/>
  <c r="D174" i="1"/>
  <c r="CU29" i="2"/>
  <c r="AE21" i="1"/>
  <c r="DH29" i="2"/>
  <c r="JN29" i="2"/>
  <c r="HT29" i="2"/>
  <c r="AE62" i="1"/>
  <c r="BT29" i="2"/>
  <c r="FM29" i="2"/>
  <c r="AE6" i="1"/>
  <c r="Y58" i="1"/>
  <c r="AE182" i="1"/>
  <c r="AE179" i="1"/>
  <c r="Q116" i="1"/>
  <c r="DI29" i="2"/>
  <c r="AA58" i="1"/>
  <c r="AB58" i="1"/>
  <c r="AE51" i="1"/>
  <c r="ED29" i="2"/>
  <c r="JZ29" i="2"/>
  <c r="MY29" i="2"/>
  <c r="GO29" i="2"/>
  <c r="NC27" i="2" a="1"/>
  <c r="IW29" i="2"/>
  <c r="GD29" i="2"/>
  <c r="GL29" i="2"/>
  <c r="DB29" i="2"/>
  <c r="GA29" i="2"/>
  <c r="GE29" i="2"/>
  <c r="AC145" i="1"/>
  <c r="MQ29" i="2"/>
  <c r="NC22" i="2" a="1"/>
  <c r="AE94" i="1"/>
  <c r="BM29" i="2"/>
  <c r="MH29" i="2"/>
  <c r="G29" i="2"/>
  <c r="AE123" i="1"/>
  <c r="AE113" i="1"/>
  <c r="B203" i="1"/>
  <c r="L174" i="1"/>
  <c r="AE152" i="1"/>
  <c r="AH29" i="2"/>
  <c r="JC29" i="2"/>
  <c r="KM29" i="2"/>
  <c r="Z29" i="1"/>
  <c r="JW29" i="2"/>
  <c r="EC29" i="2"/>
  <c r="AE37" i="1"/>
  <c r="AE84" i="1"/>
  <c r="AE76" i="1"/>
  <c r="C145" i="1"/>
  <c r="JG29" i="2"/>
  <c r="BS29" i="2"/>
  <c r="MD29" i="2"/>
  <c r="O145" i="1"/>
  <c r="AO29" i="2"/>
  <c r="AE177" i="1"/>
  <c r="AE157" i="1"/>
  <c r="FT29" i="2"/>
  <c r="H174" i="1"/>
  <c r="F145" i="1"/>
  <c r="NC16" i="2" a="1"/>
  <c r="AE69" i="1"/>
  <c r="GN29" i="2"/>
  <c r="Q29" i="2"/>
  <c r="N116" i="1"/>
  <c r="AE15" i="1"/>
  <c r="D87" i="1"/>
  <c r="NC12" i="2" a="1"/>
  <c r="MJ29" i="2"/>
  <c r="CK29" i="2"/>
  <c r="GR29" i="2"/>
  <c r="NC11" i="2" a="1"/>
  <c r="HW29" i="2"/>
  <c r="AE91" i="1"/>
  <c r="DD29" i="2"/>
  <c r="W29" i="2"/>
  <c r="HL29" i="2"/>
  <c r="AE119" i="1"/>
  <c r="AE26" i="1"/>
  <c r="IU29" i="2"/>
  <c r="MZ29" i="2"/>
  <c r="I87" i="1"/>
  <c r="HJ29" i="2"/>
  <c r="E116" i="1"/>
  <c r="AE12" i="1"/>
  <c r="AE9" i="1"/>
  <c r="G87" i="1"/>
  <c r="AE120" i="1"/>
  <c r="LC29" i="2"/>
  <c r="HZ29" i="2"/>
  <c r="O174" i="1"/>
  <c r="X174" i="1"/>
  <c r="KD29" i="2"/>
  <c r="AE41" i="1"/>
  <c r="W203" i="1"/>
  <c r="H87" i="1"/>
  <c r="AQ29" i="2"/>
  <c r="Q145" i="1"/>
  <c r="N203" i="1"/>
  <c r="NC7" i="2" a="1"/>
  <c r="NC15" i="2" a="1"/>
  <c r="P174" i="1"/>
  <c r="JD29" i="2"/>
  <c r="GV29" i="2"/>
  <c r="HK29" i="2"/>
  <c r="GC29" i="2"/>
  <c r="AE42" i="1"/>
  <c r="AE66" i="1"/>
  <c r="IK29" i="2"/>
  <c r="L203" i="1"/>
  <c r="AE142" i="1"/>
  <c r="O116" i="1"/>
  <c r="P29" i="1"/>
  <c r="H145" i="1"/>
  <c r="IC29" i="2"/>
  <c r="AE72" i="1"/>
  <c r="AE155" i="1"/>
  <c r="HN29" i="2"/>
  <c r="K145" i="1"/>
  <c r="AE181" i="1"/>
  <c r="AE180" i="1"/>
  <c r="U29" i="2"/>
  <c r="KQ29" i="2"/>
  <c r="R29" i="1"/>
  <c r="Q87" i="1"/>
  <c r="CB29" i="2"/>
  <c r="AA29" i="1"/>
  <c r="X145" i="1"/>
  <c r="JS29" i="2"/>
  <c r="JU29" i="2"/>
  <c r="KG29" i="2"/>
  <c r="AE189" i="1"/>
  <c r="AE81" i="1"/>
  <c r="CM29" i="2"/>
  <c r="AE27" i="1"/>
  <c r="HM29" i="2"/>
  <c r="EB29" i="2"/>
  <c r="AE106" i="1"/>
  <c r="LZ29" i="2"/>
  <c r="AK29" i="2"/>
  <c r="T116" i="1"/>
  <c r="Y87" i="1"/>
  <c r="DW29" i="2"/>
  <c r="IA29" i="2"/>
  <c r="BY29" i="2"/>
  <c r="JE29" i="2"/>
  <c r="E203" i="1"/>
  <c r="EX29" i="2"/>
  <c r="AE32" i="1"/>
  <c r="AE33" i="1"/>
  <c r="JB29" i="2"/>
  <c r="AB174" i="1"/>
  <c r="FE29" i="2"/>
  <c r="Z29" i="2"/>
  <c r="AE7" i="1"/>
  <c r="JQ29" i="2"/>
  <c r="NC24" i="2" a="1"/>
  <c r="AN29" i="2"/>
  <c r="AE28" i="1"/>
  <c r="N145" i="1"/>
  <c r="AE73" i="1"/>
  <c r="H29" i="1"/>
  <c r="EY29" i="2"/>
  <c r="R87" i="1"/>
  <c r="D203" i="1"/>
  <c r="JF29" i="2"/>
  <c r="U145" i="1"/>
  <c r="X29" i="2"/>
  <c r="B58" i="1"/>
  <c r="P29" i="2"/>
  <c r="NC4" i="2" a="1"/>
  <c r="NC17" i="2" a="1"/>
  <c r="G145" i="1"/>
  <c r="AE127" i="1"/>
  <c r="LS29" i="2"/>
  <c r="AE129" i="1"/>
  <c r="FB29" i="2"/>
  <c r="B29" i="1"/>
  <c r="L29" i="1"/>
  <c r="AE48" i="1"/>
  <c r="DF29" i="2"/>
  <c r="AE71" i="1"/>
  <c r="HR29" i="2"/>
  <c r="HH29" i="2"/>
  <c r="F203" i="1"/>
  <c r="D29" i="2"/>
  <c r="KE29" i="2"/>
  <c r="HG29" i="2"/>
  <c r="GF29" i="2"/>
  <c r="NC26" i="2" a="1"/>
  <c r="E29" i="1"/>
  <c r="AE13" i="1"/>
  <c r="AE93" i="1"/>
  <c r="GK29" i="2"/>
  <c r="AE114" i="1"/>
  <c r="X58" i="1"/>
  <c r="S116" i="1"/>
  <c r="AY29" i="2"/>
  <c r="S29" i="2"/>
  <c r="AE82" i="1"/>
  <c r="HV29" i="2"/>
  <c r="DL29" i="2"/>
  <c r="F29" i="2"/>
  <c r="DC29" i="2"/>
  <c r="X116" i="1"/>
  <c r="EP29" i="2"/>
  <c r="AE199" i="1"/>
  <c r="AE86" i="1"/>
  <c r="F87" i="1"/>
  <c r="AE44" i="1"/>
  <c r="FW29" i="2"/>
  <c r="BF29" i="2"/>
  <c r="Q29" i="1"/>
  <c r="M29" i="2"/>
  <c r="O29" i="2"/>
  <c r="H116" i="1"/>
  <c r="U203" i="1"/>
  <c r="BC29" i="2"/>
  <c r="IZ29" i="2"/>
  <c r="J174" i="1"/>
  <c r="DO29" i="2"/>
  <c r="AE64" i="1"/>
  <c r="AE83" i="1"/>
  <c r="AZ29" i="2"/>
  <c r="LE29" i="2"/>
  <c r="FV29" i="2"/>
  <c r="Y29" i="1"/>
  <c r="GX29" i="2"/>
  <c r="BO29" i="2"/>
  <c r="NC9" i="2" a="1"/>
  <c r="GI29" i="2"/>
  <c r="M29" i="1"/>
  <c r="AE194" i="1"/>
  <c r="AE111" i="1"/>
  <c r="EI29" i="2"/>
  <c r="Y116" i="1"/>
  <c r="AE36" i="1"/>
  <c r="JT29" i="2"/>
  <c r="LY29" i="2"/>
  <c r="AE163" i="1"/>
  <c r="AE169" i="1"/>
  <c r="DG29" i="2"/>
  <c r="AE110" i="1"/>
  <c r="AE192" i="1"/>
  <c r="JA29" i="2"/>
  <c r="W116" i="1"/>
  <c r="E58" i="1"/>
  <c r="J58" i="1"/>
  <c r="IO29" i="2"/>
  <c r="BN29" i="2"/>
  <c r="S174" i="1"/>
  <c r="KL29" i="2"/>
  <c r="AE159" i="1"/>
  <c r="GW29" i="2"/>
  <c r="M203" i="1"/>
  <c r="AE188" i="1"/>
  <c r="DJ29" i="2"/>
  <c r="LV29" i="2"/>
  <c r="AE5" i="1"/>
  <c r="L116" i="1"/>
  <c r="E145" i="1"/>
  <c r="AE90" i="1"/>
  <c r="AE47" i="1"/>
  <c r="FD29" i="2"/>
  <c r="AB145" i="1"/>
  <c r="T174" i="1"/>
  <c r="DY29" i="2"/>
  <c r="EM29" i="2"/>
  <c r="KZ29" i="2"/>
  <c r="V116" i="1"/>
  <c r="X203" i="1"/>
  <c r="NC21" i="2" a="1"/>
  <c r="AE202" i="1"/>
  <c r="IL29" i="2"/>
  <c r="AE57" i="1"/>
  <c r="AT29" i="2"/>
  <c r="AE153" i="1"/>
  <c r="CP29" i="2"/>
  <c r="AE99" i="1"/>
  <c r="BK29" i="2"/>
  <c r="LO29" i="2"/>
  <c r="H203" i="1"/>
  <c r="L145" i="1"/>
  <c r="HQ29" i="2"/>
  <c r="S87" i="1"/>
  <c r="EQ29" i="2"/>
  <c r="LJ29" i="2"/>
  <c r="BJ29" i="2"/>
  <c r="CH29" i="2"/>
  <c r="CC29" i="2"/>
  <c r="N87" i="1"/>
  <c r="Z58" i="1"/>
  <c r="DM29" i="2"/>
  <c r="EO29" i="2"/>
  <c r="DP29" i="2"/>
  <c r="LU29" i="2"/>
  <c r="Y145" i="1"/>
  <c r="LG29" i="2"/>
  <c r="AX29" i="2"/>
  <c r="AE104" i="1"/>
  <c r="AE78" i="1"/>
  <c r="BQ29" i="2"/>
  <c r="CX29" i="2"/>
  <c r="R58" i="1"/>
  <c r="AE149" i="1"/>
  <c r="KS29" i="2"/>
  <c r="JH29" i="2"/>
  <c r="AE195" i="1"/>
  <c r="FR29" i="2"/>
  <c r="T29" i="1"/>
  <c r="Z145" i="1"/>
  <c r="S203" i="1"/>
  <c r="KF29" i="2"/>
  <c r="R145" i="1"/>
  <c r="HC29" i="2"/>
  <c r="BX29" i="2"/>
  <c r="AL29" i="2"/>
  <c r="JO29" i="2"/>
  <c r="AE74" i="1"/>
  <c r="MR29" i="2"/>
  <c r="MC29" i="2" a="1"/>
  <c r="KU29" i="2"/>
  <c r="V58" i="1"/>
  <c r="DQ29" i="2"/>
  <c r="FH29" i="2"/>
  <c r="EJ29" i="2"/>
  <c r="CY29" i="2"/>
  <c r="GB29" i="2"/>
  <c r="AE109" i="1"/>
  <c r="N174" i="1"/>
  <c r="AC29" i="1"/>
  <c r="O203" i="1"/>
  <c r="GS29" i="2"/>
  <c r="AE40" i="1"/>
  <c r="DR29" i="2"/>
  <c r="B174" i="1"/>
  <c r="C174" i="1"/>
  <c r="MK29" i="2"/>
  <c r="LW29" i="2"/>
  <c r="AE67" i="1"/>
  <c r="BL29" i="2"/>
  <c r="AE161" i="1"/>
  <c r="J87" i="1"/>
  <c r="FP29" i="2"/>
  <c r="AE29" i="2"/>
  <c r="KA29" i="2"/>
  <c r="AE201" i="1"/>
  <c r="EF29" i="2"/>
  <c r="AS29" i="2"/>
  <c r="AE77" i="1"/>
  <c r="LI29" i="2"/>
  <c r="Y29" i="2"/>
  <c r="G58" i="1"/>
  <c r="AI29" i="2"/>
  <c r="AE160" i="1"/>
  <c r="D58" i="1"/>
  <c r="IJ29" i="2"/>
  <c r="CJ29" i="2"/>
  <c r="DS29" i="2"/>
  <c r="IG29" i="2"/>
  <c r="I145" i="1"/>
  <c r="MU29" i="2"/>
  <c r="FF29" i="2"/>
  <c r="AE22" i="1"/>
  <c r="AE154" i="1"/>
  <c r="AE46" i="1"/>
  <c r="KY29" i="2"/>
  <c r="AE56" i="1"/>
  <c r="AE17" i="1"/>
  <c r="AC58" i="1"/>
  <c r="LT29" i="2"/>
  <c r="MV29" i="2"/>
  <c r="AE140" i="1"/>
  <c r="Y174" i="1"/>
  <c r="CN29" i="2"/>
  <c r="MM29" i="2"/>
  <c r="AE108" i="1"/>
  <c r="FO29" i="2"/>
  <c r="AE122" i="1"/>
  <c r="HX29" i="2"/>
  <c r="JX29" i="2"/>
  <c r="J29" i="1"/>
  <c r="AE112" i="1"/>
  <c r="NC14" i="2" a="1"/>
  <c r="JI29" i="2"/>
  <c r="KK29" i="2"/>
  <c r="CA29" i="2"/>
  <c r="NC13" i="2" a="1"/>
  <c r="NC19" i="2" a="1"/>
  <c r="AV29" i="2"/>
  <c r="DX29" i="2"/>
  <c r="KI29" i="2"/>
  <c r="GG29" i="2"/>
  <c r="AE107" i="1"/>
  <c r="HU29" i="2"/>
  <c r="AE68" i="1"/>
  <c r="C58" i="1"/>
  <c r="G174" i="1"/>
  <c r="GP29" i="2"/>
  <c r="FJ29" i="2"/>
  <c r="W29" i="1"/>
  <c r="CI29" i="2"/>
  <c r="B116" i="1"/>
  <c r="BE29" i="2"/>
  <c r="CG29" i="2"/>
  <c r="I29" i="2"/>
  <c r="K58" i="1"/>
  <c r="CZ29" i="2"/>
  <c r="AE24" i="1"/>
  <c r="F174" i="1"/>
  <c r="AE185" i="1"/>
  <c r="KV29" i="2"/>
  <c r="DA29" i="2"/>
  <c r="AE135" i="1"/>
  <c r="MF29" i="2"/>
  <c r="K87" i="1"/>
  <c r="MN29" i="2"/>
  <c r="X87" i="1"/>
  <c r="II29" i="2"/>
  <c r="F58" i="1"/>
  <c r="B29" i="2"/>
  <c r="AR29" i="2"/>
  <c r="I174" i="1"/>
  <c r="JK29" i="2"/>
  <c r="JV29" i="2"/>
  <c r="AE167" i="1"/>
  <c r="NC25" i="2" a="1"/>
  <c r="W87" i="1"/>
  <c r="LA29" i="2"/>
  <c r="HD29" i="2"/>
  <c r="AE128" i="1"/>
  <c r="LP29" i="2"/>
  <c r="AE134" i="1"/>
  <c r="T29" i="2"/>
  <c r="S29" i="1"/>
  <c r="AM29" i="2"/>
  <c r="C116" i="1"/>
  <c r="IQ29" i="2"/>
  <c r="ME29" i="2"/>
  <c r="AD29" i="2"/>
  <c r="AE35" i="1"/>
  <c r="G29" i="1"/>
  <c r="EW29" i="2"/>
  <c r="AE98" i="1"/>
  <c r="KO29" i="2"/>
  <c r="BW29" i="2"/>
  <c r="L29" i="2"/>
  <c r="AE39" i="1"/>
  <c r="D29" i="1"/>
  <c r="AE162" i="1"/>
  <c r="AE18" i="1"/>
  <c r="V203" i="1"/>
  <c r="I58" i="1"/>
  <c r="AE3" i="1"/>
  <c r="W58" i="1"/>
  <c r="AE97" i="1"/>
  <c r="AE45" i="1"/>
  <c r="NA29" i="2"/>
  <c r="P145" i="1"/>
  <c r="DT29" i="2"/>
  <c r="U116" i="1"/>
  <c r="AE139" i="1"/>
  <c r="Z203" i="1"/>
  <c r="CS29" i="2"/>
  <c r="AE166" i="1"/>
  <c r="AU29" i="2"/>
  <c r="DE29" i="2"/>
  <c r="LN29" i="2"/>
  <c r="R174" i="1"/>
  <c r="BV29" i="2"/>
  <c r="BP29" i="2"/>
  <c r="M174" i="1"/>
  <c r="CL29" i="2"/>
  <c r="C203" i="1"/>
  <c r="CE29" i="2"/>
  <c r="AE148" i="1"/>
  <c r="HO29" i="2"/>
  <c r="AE125" i="1"/>
  <c r="AB87" i="1"/>
  <c r="AE121" i="1"/>
  <c r="MP29" i="2"/>
  <c r="MI29" i="2"/>
  <c r="ML29" i="2"/>
  <c r="Q203" i="1"/>
  <c r="O87" i="1"/>
  <c r="AE75" i="1"/>
  <c r="LB29" i="2"/>
  <c r="AJ29" i="2"/>
  <c r="EN29" i="2"/>
  <c r="T145" i="1"/>
  <c r="AE156" i="1"/>
  <c r="M145" i="1"/>
  <c r="V29" i="1"/>
  <c r="JR29" i="2"/>
  <c r="AE132" i="1"/>
  <c r="JM29" i="2"/>
  <c r="BD29" i="2"/>
  <c r="KJ29" i="2"/>
  <c r="MG29" i="2"/>
  <c r="H58" i="1"/>
  <c r="FL29" i="2"/>
  <c r="NC18" i="2" a="1"/>
  <c r="IE29" i="2"/>
  <c r="AE168" i="1"/>
  <c r="NC8" i="2" a="1"/>
  <c r="EZ29" i="2"/>
  <c r="NC28" i="2" a="1"/>
  <c r="CD29" i="2"/>
  <c r="AB29" i="2"/>
  <c r="KT29" i="2"/>
  <c r="GQ29" i="2"/>
  <c r="KR29" i="2"/>
  <c r="LM29" i="2"/>
  <c r="R29" i="2"/>
  <c r="AE49" i="1"/>
  <c r="HE29" i="2"/>
  <c r="AE136" i="1"/>
  <c r="R203" i="1"/>
  <c r="GU29" i="2"/>
  <c r="Q174" i="1"/>
  <c r="ID29" i="2"/>
  <c r="U29" i="1"/>
  <c r="IF29" i="2"/>
  <c r="BG29" i="2"/>
  <c r="AE170" i="1"/>
  <c r="AE151" i="1"/>
  <c r="AE131" i="1"/>
  <c r="V87" i="1"/>
  <c r="LL29" i="2"/>
  <c r="EG29" i="2"/>
  <c r="NC28" i="2" l="1"/>
  <c r="NC8" i="2"/>
  <c r="NC18" i="2"/>
  <c r="NC25" i="2"/>
  <c r="NC19" i="2"/>
  <c r="NC13" i="2"/>
  <c r="NC14" i="2"/>
  <c r="MC29" i="2"/>
  <c r="AE174" i="1"/>
  <c r="NC21" i="2"/>
  <c r="NC9" i="2"/>
  <c r="NC26" i="2"/>
  <c r="NC17" i="2"/>
  <c r="NC4" i="2"/>
  <c r="NC24" i="2"/>
  <c r="AE58" i="1"/>
  <c r="NC15" i="2"/>
  <c r="NC7" i="2"/>
  <c r="AE145" i="1"/>
  <c r="AE116" i="1"/>
  <c r="NC11" i="2"/>
  <c r="NC12" i="2"/>
  <c r="NC16" i="2"/>
  <c r="NC22" i="2"/>
  <c r="NC27" i="2"/>
  <c r="AE87" i="1"/>
  <c r="NC23" i="2"/>
  <c r="NC6" i="2"/>
  <c r="NC10" i="2"/>
  <c r="H29" i="2"/>
  <c r="AE203" i="1"/>
  <c r="AE29" i="1"/>
  <c r="NC5" i="2"/>
  <c r="NC2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<sst xmlns="http://schemas.openxmlformats.org/spreadsheetml/2006/main" count="1271" uniqueCount="182">
  <si>
    <t>Abda</t>
  </si>
  <si>
    <t>Alice</t>
  </si>
  <si>
    <t>Anita</t>
  </si>
  <si>
    <t>Axelle</t>
  </si>
  <si>
    <t>Christophe</t>
  </si>
  <si>
    <t xml:space="preserve">Enrique </t>
  </si>
  <si>
    <t>Erick</t>
  </si>
  <si>
    <t>Irène</t>
  </si>
  <si>
    <t>Jean-Charles</t>
  </si>
  <si>
    <t>Jean-Paul</t>
  </si>
  <si>
    <t>Jeevan</t>
  </si>
  <si>
    <t>Kamal</t>
  </si>
  <si>
    <t>Massi</t>
  </si>
  <si>
    <t>Rajou</t>
  </si>
  <si>
    <t>Sophie P</t>
  </si>
  <si>
    <t>Sophie V</t>
  </si>
  <si>
    <t>Sara</t>
  </si>
  <si>
    <t>Shamil</t>
  </si>
  <si>
    <t>Victoria</t>
  </si>
  <si>
    <t>Vijitha</t>
  </si>
  <si>
    <t>JANVIER</t>
  </si>
  <si>
    <t>FÉVRIER</t>
  </si>
  <si>
    <t>MARS</t>
  </si>
  <si>
    <t>AVRIL</t>
  </si>
  <si>
    <t>MAI</t>
  </si>
  <si>
    <t>JUIN</t>
  </si>
  <si>
    <t>JUILLET</t>
  </si>
  <si>
    <t>AOÛT</t>
  </si>
  <si>
    <t>SEPTEMBRE</t>
  </si>
  <si>
    <t>OCTOBRE</t>
  </si>
  <si>
    <t>NOVEMBRE</t>
  </si>
  <si>
    <t>DÉCEMBRE</t>
  </si>
  <si>
    <t>S</t>
  </si>
  <si>
    <t>D</t>
  </si>
  <si>
    <t>L</t>
  </si>
  <si>
    <t>M</t>
  </si>
  <si>
    <t>J</t>
  </si>
  <si>
    <t>V</t>
  </si>
  <si>
    <t>Stéphanie</t>
  </si>
  <si>
    <t>Baptiste</t>
  </si>
  <si>
    <t>Jean</t>
  </si>
  <si>
    <t>Side 1</t>
  </si>
  <si>
    <t>Side 2</t>
  </si>
  <si>
    <t>Absences par jour</t>
  </si>
  <si>
    <t>Nombre 
de congés
à l'année</t>
  </si>
  <si>
    <t>Lundi</t>
  </si>
  <si>
    <t>7h</t>
  </si>
  <si>
    <t>7h30</t>
  </si>
  <si>
    <t>8h</t>
  </si>
  <si>
    <t>8h30</t>
  </si>
  <si>
    <t>9h</t>
  </si>
  <si>
    <t>9h30</t>
  </si>
  <si>
    <t>10h</t>
  </si>
  <si>
    <t>10h30</t>
  </si>
  <si>
    <t>11h</t>
  </si>
  <si>
    <t>11h30</t>
  </si>
  <si>
    <t>12h</t>
  </si>
  <si>
    <t>12h30</t>
  </si>
  <si>
    <t>13h</t>
  </si>
  <si>
    <t>13h30</t>
  </si>
  <si>
    <t>14h</t>
  </si>
  <si>
    <t>14h30</t>
  </si>
  <si>
    <t>15h</t>
  </si>
  <si>
    <t>15h30</t>
  </si>
  <si>
    <t>16h</t>
  </si>
  <si>
    <t>16h30</t>
  </si>
  <si>
    <t>17h</t>
  </si>
  <si>
    <t>17h30</t>
  </si>
  <si>
    <t>18h</t>
  </si>
  <si>
    <t>18h30</t>
  </si>
  <si>
    <t>19h</t>
  </si>
  <si>
    <t>19h30</t>
  </si>
  <si>
    <t>20h</t>
  </si>
  <si>
    <t>20h30</t>
  </si>
  <si>
    <t>tps de pause</t>
  </si>
  <si>
    <t>total</t>
  </si>
  <si>
    <t>21h00</t>
  </si>
  <si>
    <t>heures</t>
  </si>
  <si>
    <t>F</t>
  </si>
  <si>
    <t>Mardi</t>
  </si>
  <si>
    <t>C2</t>
  </si>
  <si>
    <t>Mercredi</t>
  </si>
  <si>
    <t>Jeudi</t>
  </si>
  <si>
    <t>Vendredi</t>
  </si>
  <si>
    <t>Samedi</t>
  </si>
  <si>
    <t>Dimanche</t>
  </si>
  <si>
    <t>(Les absences formation ne sont pas déduites des heures à payer)</t>
  </si>
  <si>
    <t>Formation</t>
  </si>
  <si>
    <t>FORM</t>
  </si>
  <si>
    <t>Férié</t>
  </si>
  <si>
    <t>Repos compensateur</t>
  </si>
  <si>
    <t>RC</t>
  </si>
  <si>
    <t>Journée événements familiaux</t>
  </si>
  <si>
    <t>EV</t>
  </si>
  <si>
    <t>Absence autorisée</t>
  </si>
  <si>
    <t>AU</t>
  </si>
  <si>
    <t>Absence non justifiée</t>
  </si>
  <si>
    <t>NJ</t>
  </si>
  <si>
    <t>Accident de travail</t>
  </si>
  <si>
    <t>AT</t>
  </si>
  <si>
    <t>Maladie</t>
  </si>
  <si>
    <t>MAL</t>
  </si>
  <si>
    <t>Conges payés</t>
  </si>
  <si>
    <t>CP</t>
  </si>
  <si>
    <t>Cuisine</t>
  </si>
  <si>
    <t>Snacking</t>
  </si>
  <si>
    <t>SA</t>
  </si>
  <si>
    <t>Polyvalent</t>
  </si>
  <si>
    <t>FEL</t>
  </si>
  <si>
    <t>ULF</t>
  </si>
  <si>
    <t>SEC</t>
  </si>
  <si>
    <t>Direction</t>
  </si>
  <si>
    <t>Commande</t>
  </si>
  <si>
    <t>CMD</t>
  </si>
  <si>
    <t>Fermeture</t>
  </si>
  <si>
    <t>Communication magasin</t>
  </si>
  <si>
    <t>CAM</t>
  </si>
  <si>
    <t>Comptage caisses</t>
  </si>
  <si>
    <t>KS</t>
  </si>
  <si>
    <t>Caisse 4</t>
  </si>
  <si>
    <t>C4</t>
  </si>
  <si>
    <t>Caisse 3</t>
  </si>
  <si>
    <t>C3</t>
  </si>
  <si>
    <t>Caisse 2</t>
  </si>
  <si>
    <t>Caisse 1</t>
  </si>
  <si>
    <t>C1</t>
  </si>
  <si>
    <t>Service arrière</t>
  </si>
  <si>
    <t>SN</t>
  </si>
  <si>
    <t>Pain</t>
  </si>
  <si>
    <t>Abréviations pour le planning opérationnel</t>
  </si>
  <si>
    <t>LUNDI</t>
  </si>
  <si>
    <t>MARDI</t>
  </si>
  <si>
    <t>MERCREDI</t>
  </si>
  <si>
    <t>JEUDI</t>
  </si>
  <si>
    <t>VENDREDI</t>
  </si>
  <si>
    <t>SAMEDI</t>
  </si>
  <si>
    <t>DIMANCHE</t>
  </si>
  <si>
    <t>Abréviations pour les absences</t>
  </si>
  <si>
    <t>cellule mois</t>
  </si>
  <si>
    <t>colonne 1er jour du mois</t>
  </si>
  <si>
    <t>B</t>
  </si>
  <si>
    <t>AG</t>
  </si>
  <si>
    <t>BI</t>
  </si>
  <si>
    <t>CN</t>
  </si>
  <si>
    <t>DR</t>
  </si>
  <si>
    <t>EW</t>
  </si>
  <si>
    <t>GA</t>
  </si>
  <si>
    <t>HF</t>
  </si>
  <si>
    <t>IK</t>
  </si>
  <si>
    <t>JO</t>
  </si>
  <si>
    <t>KT</t>
  </si>
  <si>
    <t>LX</t>
  </si>
  <si>
    <t>2) Pour une première utilisation, cliquer sur "oui" puis préciser l'année pour éditer les 52 feuilles hebdomadaires (exemple: avec l'année 2022)</t>
  </si>
  <si>
    <t>Dans cette feuille, une fois l'édition des semaines effectuées, on peut également entrer des congés mais davantage en fonction du numéro de la semaine que des dates brutes à proprement parler.</t>
  </si>
  <si>
    <t>Il est ici possible de le faire en entrant les congés de plusieurs personnes à la fois sur une même période et de remplir les feuilles semaines correspondantes.</t>
  </si>
  <si>
    <t>3) Se rendre ensuite dans la feuille "congés".</t>
  </si>
  <si>
    <t>4) Cliquer sur le bouton "Ajout de congés". Choisir le nom de l'employé, le jour de début et de fin du congé, le type de congé grâce aux listes déroulantes (par exemple: Alice du 16/05 au 10/06 congés de type CP)</t>
  </si>
  <si>
    <t>5) Cliquer sur Valider.</t>
  </si>
  <si>
    <t>6) Le calendrier de la feuille "Congés" se met à jour automatiquement.</t>
  </si>
  <si>
    <t>7) La feuille active devient celle de la dernière semaine de congés (pour Alice semaine du 10/06).</t>
  </si>
  <si>
    <t>8) Que ce soit sur le planning de congés annuel ou sur les feuilles des différentes semaines, vous constatez que les cellules des jours correspondants ont été coloriées en noir avec le type de congé précisé dans chacune des cellules susdites et ce sur toutes les semaines concernées.</t>
  </si>
  <si>
    <t>Janvier</t>
  </si>
  <si>
    <t>Février</t>
  </si>
  <si>
    <t>Mars</t>
  </si>
  <si>
    <t>Avril</t>
  </si>
  <si>
    <t>Mai</t>
  </si>
  <si>
    <t>Juin</t>
  </si>
  <si>
    <t>Juillet</t>
  </si>
  <si>
    <t>Août</t>
  </si>
  <si>
    <t>Septembre</t>
  </si>
  <si>
    <t>Octobre</t>
  </si>
  <si>
    <t>Novembre</t>
  </si>
  <si>
    <t>Décembre</t>
  </si>
  <si>
    <t>Employé</t>
  </si>
  <si>
    <t>Salaire de base</t>
  </si>
  <si>
    <t>durée travail hebdo</t>
  </si>
  <si>
    <t>Nature du contrat</t>
  </si>
  <si>
    <t>Heures travaillées</t>
  </si>
  <si>
    <t>Salaire</t>
  </si>
  <si>
    <t>CDI</t>
  </si>
  <si>
    <t>1) Dans la feuille Données, cliquer sur le bouton "Edition".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</si>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</sst>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4" x14ac:knownFonts="1">
    <font>
      <sz val="12"/>
      <color theme="1"/>
      <name val="Calibri"/>
      <family val="2"/>
      <scheme val="minor"/>
    </font>
    <font>
      <sz val="12"/>
      <color rgb="FF000000"/>
      <name val="Calibri"/>
      <family val="2"/>
      <scheme val="minor"/>
    </font>
    <font>
      <b/>
      <sz val="14"/>
      <color theme="1"/>
      <name val="Calibri"/>
      <family val="2"/>
      <scheme val="minor"/>
    </font>
    <font>
      <b/>
      <sz val="11"/>
      <color theme="0"/>
      <name val="Calibri"/>
      <family val="2"/>
      <scheme val="minor"/>
    </font>
    <font>
      <b/>
      <sz val="11"/>
      <color theme="0"/>
      <name val="Calibri"/>
      <family val="2"/>
    </font>
    <font>
      <b/>
      <sz val="11"/>
      <name val="Calibri"/>
      <family val="2"/>
    </font>
    <font>
      <b/>
      <sz val="10"/>
      <color indexed="8"/>
      <name val="Calibri"/>
      <family val="2"/>
    </font>
    <font>
      <b/>
      <sz val="9"/>
      <color indexed="8"/>
      <name val="Calibri"/>
      <family val="2"/>
    </font>
    <font>
      <b/>
      <sz val="9"/>
      <color theme="0"/>
      <name val="Calibri"/>
      <family val="2"/>
    </font>
    <font>
      <b/>
      <sz val="9"/>
      <name val="Calibri"/>
      <family val="2"/>
    </font>
    <font>
      <b/>
      <sz val="7"/>
      <color theme="0"/>
      <name val="Calibri"/>
      <family val="2"/>
    </font>
    <font>
      <b/>
      <sz val="14"/>
      <color indexed="8"/>
      <name val="Calibri"/>
      <family val="2"/>
    </font>
    <font>
      <sz val="8"/>
      <name val="Calibri"/>
      <family val="2"/>
    </font>
    <font>
      <b/>
      <i/>
      <sz val="11"/>
      <color theme="1"/>
      <name val="Calibri"/>
      <family val="2"/>
    </font>
    <font>
      <b/>
      <sz val="11"/>
      <name val="Calibri"/>
      <family val="2"/>
      <scheme val="minor"/>
    </font>
    <font>
      <b/>
      <sz val="8"/>
      <name val="Calibri"/>
      <family val="2"/>
    </font>
    <font>
      <b/>
      <sz val="11"/>
      <color theme="1"/>
      <name val="Calibri"/>
      <family val="2"/>
    </font>
    <font>
      <b/>
      <sz val="11"/>
      <color rgb="FF00FF00"/>
      <name val="Calibri"/>
      <family val="2"/>
      <scheme val="minor"/>
    </font>
    <font>
      <b/>
      <sz val="11"/>
      <color rgb="FF00FF00"/>
      <name val="Calibri"/>
      <family val="2"/>
    </font>
    <font>
      <sz val="8"/>
      <name val="Calibri"/>
      <family val="2"/>
      <scheme val="minor"/>
    </font>
    <font>
      <sz val="12"/>
      <color rgb="FF000000"/>
      <name val="Calibri"/>
      <family val="2"/>
    </font>
    <font>
      <sz val="12"/>
      <name val="Calibri"/>
      <family val="2"/>
      <scheme val="minor"/>
    </font>
    <font>
      <sz val="12"/>
      <color indexed="9"/>
      <name val="Calibri"/>
      <family val="2"/>
      <scheme val="minor"/>
    </font>
    <font>
      <sz val="12"/>
      <color rgb="FF333333"/>
      <name val="Courier New"/>
      <family val="1"/>
    </font>
  </fonts>
  <fills count="13">
    <fill>
      <patternFill patternType="none"/>
    </fill>
    <fill>
      <patternFill patternType="gray125"/>
    </fill>
    <fill>
      <patternFill patternType="solid">
        <fgColor rgb="FF0065B0"/>
        <bgColor indexed="64"/>
      </patternFill>
    </fill>
    <fill>
      <patternFill patternType="solid">
        <fgColor rgb="FFFF0000"/>
        <bgColor indexed="64"/>
      </patternFill>
    </fill>
    <fill>
      <patternFill patternType="solid">
        <fgColor rgb="FF00B0F0"/>
        <bgColor indexed="64"/>
      </patternFill>
    </fill>
    <fill>
      <patternFill patternType="solid">
        <fgColor rgb="FF92D050"/>
        <bgColor indexed="64"/>
      </patternFill>
    </fill>
    <fill>
      <patternFill patternType="solid">
        <fgColor rgb="FFF53DDB"/>
        <bgColor indexed="64"/>
      </patternFill>
    </fill>
    <fill>
      <patternFill patternType="solid">
        <fgColor rgb="FF7030A0"/>
        <bgColor indexed="64"/>
      </patternFill>
    </fill>
    <fill>
      <patternFill patternType="solid">
        <fgColor rgb="FFFFFF00"/>
        <bgColor indexed="64"/>
      </patternFill>
    </fill>
    <fill>
      <patternFill patternType="solid">
        <fgColor theme="0" tint="-0.249977111117893"/>
        <bgColor indexed="64"/>
      </patternFill>
    </fill>
    <fill>
      <patternFill patternType="solid">
        <fgColor indexed="55"/>
        <bgColor indexed="64"/>
      </patternFill>
    </fill>
    <fill>
      <patternFill patternType="solid">
        <fgColor theme="0"/>
        <bgColor indexed="64"/>
      </patternFill>
    </fill>
    <fill>
      <patternFill patternType="solid">
        <fgColor rgb="FFFF690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s>
  <cellStyleXfs count="1">
    <xf numFmtId="0" fontId="0" fillId="0" borderId="0"/>
  </cellStyleXfs>
  <cellXfs count="152">
    <xf numFmtId="0" fontId="0" fillId="0" borderId="0" xfId="0"/>
    <xf numFmtId="0" fontId="0" fillId="0" borderId="0" xfId="0" applyAlignment="1">
      <alignment horizontal="center"/>
    </xf>
    <xf numFmtId="0" fontId="0" fillId="0" borderId="1" xfId="0" applyBorder="1"/>
    <xf numFmtId="0" fontId="0" fillId="0" borderId="3" xfId="0" applyBorder="1"/>
    <xf numFmtId="0" fontId="0" fillId="0" borderId="0" xfId="0" applyBorder="1"/>
    <xf numFmtId="0" fontId="0" fillId="0" borderId="9" xfId="0" applyBorder="1"/>
    <xf numFmtId="0" fontId="0" fillId="0" borderId="12" xfId="0" applyBorder="1" applyAlignment="1">
      <alignment horizontal="center"/>
    </xf>
    <xf numFmtId="0" fontId="0" fillId="0" borderId="13" xfId="0" applyBorder="1" applyAlignment="1">
      <alignment horizontal="center"/>
    </xf>
    <xf numFmtId="0" fontId="0" fillId="0" borderId="15" xfId="0" applyBorder="1" applyAlignment="1">
      <alignment horizontal="center"/>
    </xf>
    <xf numFmtId="0" fontId="1" fillId="0" borderId="13" xfId="0" applyFont="1" applyBorder="1" applyAlignment="1">
      <alignment horizontal="center"/>
    </xf>
    <xf numFmtId="0" fontId="1" fillId="0" borderId="16" xfId="0" applyFont="1" applyBorder="1" applyAlignment="1">
      <alignment horizontal="center"/>
    </xf>
    <xf numFmtId="0" fontId="0" fillId="0" borderId="12" xfId="0" applyBorder="1"/>
    <xf numFmtId="0" fontId="0" fillId="0" borderId="13" xfId="0" applyBorder="1"/>
    <xf numFmtId="0" fontId="0" fillId="0" borderId="14" xfId="0" applyBorder="1"/>
    <xf numFmtId="0" fontId="1" fillId="0" borderId="18" xfId="0" applyFon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1" fillId="0" borderId="19" xfId="0" applyFont="1" applyBorder="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0" fontId="2" fillId="0" borderId="23" xfId="0" applyFont="1" applyBorder="1"/>
    <xf numFmtId="0" fontId="4" fillId="3" borderId="25" xfId="0" applyFont="1" applyFill="1" applyBorder="1" applyAlignment="1">
      <alignment vertical="center"/>
    </xf>
    <xf numFmtId="0" fontId="3" fillId="3" borderId="25" xfId="0" applyFont="1" applyFill="1" applyBorder="1" applyAlignment="1">
      <alignment vertical="center"/>
    </xf>
    <xf numFmtId="0" fontId="4" fillId="4" borderId="25" xfId="0" applyFont="1" applyFill="1" applyBorder="1" applyAlignment="1">
      <alignment vertical="center"/>
    </xf>
    <xf numFmtId="0" fontId="3" fillId="5" borderId="25" xfId="0" applyFont="1" applyFill="1" applyBorder="1" applyAlignment="1">
      <alignment horizontal="left" vertical="center"/>
    </xf>
    <xf numFmtId="0" fontId="3" fillId="5" borderId="25" xfId="0" applyFont="1" applyFill="1" applyBorder="1" applyAlignment="1">
      <alignment vertical="center"/>
    </xf>
    <xf numFmtId="0" fontId="3" fillId="6" borderId="25" xfId="0" applyFont="1" applyFill="1" applyBorder="1" applyAlignment="1">
      <alignment vertical="center"/>
    </xf>
    <xf numFmtId="0" fontId="4" fillId="7" borderId="25" xfId="0" applyFont="1" applyFill="1" applyBorder="1" applyAlignment="1">
      <alignment vertical="center"/>
    </xf>
    <xf numFmtId="0" fontId="0" fillId="0" borderId="13" xfId="0" applyFill="1" applyBorder="1"/>
    <xf numFmtId="0" fontId="0" fillId="0" borderId="27" xfId="0" applyBorder="1"/>
    <xf numFmtId="0" fontId="0" fillId="0" borderId="26" xfId="0" applyBorder="1"/>
    <xf numFmtId="0" fontId="0" fillId="0" borderId="26" xfId="0" applyFill="1" applyBorder="1"/>
    <xf numFmtId="0" fontId="0" fillId="0" borderId="28" xfId="0" applyBorder="1"/>
    <xf numFmtId="0" fontId="0" fillId="0" borderId="21" xfId="0" applyBorder="1"/>
    <xf numFmtId="0" fontId="0" fillId="0" borderId="10" xfId="0" applyBorder="1" applyAlignment="1">
      <alignment horizontal="center"/>
    </xf>
    <xf numFmtId="0" fontId="0" fillId="0" borderId="30" xfId="0" applyBorder="1"/>
    <xf numFmtId="0" fontId="0" fillId="0" borderId="24" xfId="0" applyBorder="1"/>
    <xf numFmtId="0" fontId="2" fillId="0" borderId="0" xfId="0" applyFont="1" applyBorder="1"/>
    <xf numFmtId="0" fontId="0" fillId="0" borderId="22" xfId="0" applyBorder="1"/>
    <xf numFmtId="0" fontId="0" fillId="0" borderId="11" xfId="0" applyBorder="1"/>
    <xf numFmtId="0" fontId="0" fillId="0" borderId="16" xfId="0" applyBorder="1"/>
    <xf numFmtId="0" fontId="0" fillId="0" borderId="17" xfId="0" applyBorder="1"/>
    <xf numFmtId="0" fontId="0" fillId="0" borderId="33" xfId="0" applyBorder="1"/>
    <xf numFmtId="0" fontId="3" fillId="2" borderId="31" xfId="0" applyFont="1" applyFill="1" applyBorder="1" applyAlignment="1">
      <alignment vertical="center"/>
    </xf>
    <xf numFmtId="0" fontId="5" fillId="8" borderId="25" xfId="0" applyFont="1" applyFill="1" applyBorder="1" applyAlignment="1">
      <alignment vertical="center"/>
    </xf>
    <xf numFmtId="0" fontId="5" fillId="8" borderId="34" xfId="0" applyFont="1" applyFill="1" applyBorder="1" applyAlignment="1">
      <alignment vertical="center"/>
    </xf>
    <xf numFmtId="0" fontId="5" fillId="0" borderId="2" xfId="0" applyFont="1" applyFill="1" applyBorder="1" applyAlignment="1">
      <alignment vertical="center"/>
    </xf>
    <xf numFmtId="164" fontId="6" fillId="0" borderId="35" xfId="0" applyNumberFormat="1" applyFont="1" applyBorder="1" applyAlignment="1">
      <alignment vertical="center"/>
    </xf>
    <xf numFmtId="0" fontId="7" fillId="9" borderId="36" xfId="0" applyFont="1" applyFill="1" applyBorder="1" applyAlignment="1">
      <alignment horizontal="center" vertical="center"/>
    </xf>
    <xf numFmtId="0" fontId="7" fillId="9" borderId="37" xfId="0" applyFont="1" applyFill="1" applyBorder="1" applyAlignment="1">
      <alignment horizontal="center" vertical="center"/>
    </xf>
    <xf numFmtId="0" fontId="7" fillId="9" borderId="38" xfId="0" applyFont="1" applyFill="1" applyBorder="1" applyAlignment="1">
      <alignment horizontal="center" vertical="center"/>
    </xf>
    <xf numFmtId="0" fontId="7" fillId="8" borderId="39" xfId="0" applyFont="1" applyFill="1" applyBorder="1" applyAlignment="1">
      <alignment horizontal="center" vertical="center"/>
    </xf>
    <xf numFmtId="0" fontId="7" fillId="8" borderId="37" xfId="0" applyFont="1" applyFill="1" applyBorder="1" applyAlignment="1">
      <alignment horizontal="center" vertical="center"/>
    </xf>
    <xf numFmtId="0" fontId="7" fillId="8" borderId="40" xfId="0" applyFont="1" applyFill="1" applyBorder="1" applyAlignment="1">
      <alignment horizontal="center" vertical="center"/>
    </xf>
    <xf numFmtId="0" fontId="8" fillId="3" borderId="39" xfId="0" applyFont="1" applyFill="1" applyBorder="1" applyAlignment="1">
      <alignment horizontal="center" vertical="center"/>
    </xf>
    <xf numFmtId="0" fontId="8" fillId="3" borderId="37" xfId="0" applyFont="1" applyFill="1" applyBorder="1" applyAlignment="1">
      <alignment horizontal="center" vertical="center"/>
    </xf>
    <xf numFmtId="0" fontId="8" fillId="3" borderId="40" xfId="0" applyFont="1" applyFill="1" applyBorder="1" applyAlignment="1">
      <alignment horizontal="center" vertical="center"/>
    </xf>
    <xf numFmtId="0" fontId="9" fillId="9" borderId="41" xfId="0" applyFont="1" applyFill="1" applyBorder="1" applyAlignment="1">
      <alignment horizontal="center" vertical="center"/>
    </xf>
    <xf numFmtId="0" fontId="7" fillId="9" borderId="35" xfId="0" applyFont="1" applyFill="1" applyBorder="1" applyAlignment="1">
      <alignment horizontal="center" vertical="center"/>
    </xf>
    <xf numFmtId="0" fontId="4" fillId="10" borderId="35" xfId="0" applyFont="1" applyFill="1" applyBorder="1" applyAlignment="1">
      <alignment horizontal="center" vertical="center"/>
    </xf>
    <xf numFmtId="14" fontId="11" fillId="0" borderId="11" xfId="0" applyNumberFormat="1" applyFont="1" applyBorder="1" applyAlignment="1">
      <alignment vertical="center"/>
    </xf>
    <xf numFmtId="0" fontId="7" fillId="9" borderId="43" xfId="0" applyFont="1" applyFill="1" applyBorder="1" applyAlignment="1">
      <alignment horizontal="center" vertical="center"/>
    </xf>
    <xf numFmtId="0" fontId="7" fillId="9" borderId="44" xfId="0" applyFont="1" applyFill="1" applyBorder="1" applyAlignment="1">
      <alignment horizontal="center" vertical="center"/>
    </xf>
    <xf numFmtId="0" fontId="7" fillId="9" borderId="45" xfId="0" applyFont="1" applyFill="1" applyBorder="1" applyAlignment="1">
      <alignment horizontal="center" vertical="center"/>
    </xf>
    <xf numFmtId="0" fontId="7" fillId="8" borderId="46" xfId="0" applyFont="1" applyFill="1" applyBorder="1" applyAlignment="1">
      <alignment horizontal="center" vertical="center"/>
    </xf>
    <xf numFmtId="0" fontId="7" fillId="8" borderId="44" xfId="0" applyFont="1" applyFill="1" applyBorder="1" applyAlignment="1">
      <alignment horizontal="center" vertical="center"/>
    </xf>
    <xf numFmtId="0" fontId="7" fillId="8" borderId="8" xfId="0" applyFont="1" applyFill="1" applyBorder="1" applyAlignment="1">
      <alignment horizontal="center" vertical="center"/>
    </xf>
    <xf numFmtId="0" fontId="8" fillId="3" borderId="46" xfId="0" applyFont="1" applyFill="1" applyBorder="1" applyAlignment="1">
      <alignment horizontal="center" vertical="center"/>
    </xf>
    <xf numFmtId="0" fontId="8" fillId="3" borderId="44" xfId="0" applyFont="1" applyFill="1" applyBorder="1" applyAlignment="1">
      <alignment horizontal="center" vertical="center"/>
    </xf>
    <xf numFmtId="0" fontId="8" fillId="3" borderId="8" xfId="0" applyFont="1" applyFill="1" applyBorder="1" applyAlignment="1">
      <alignment horizontal="center" vertical="center"/>
    </xf>
    <xf numFmtId="0" fontId="9" fillId="9" borderId="47" xfId="0" applyFont="1" applyFill="1" applyBorder="1" applyAlignment="1">
      <alignment horizontal="center" vertical="center"/>
    </xf>
    <xf numFmtId="0" fontId="7" fillId="9" borderId="11" xfId="0" applyFont="1" applyFill="1" applyBorder="1" applyAlignment="1">
      <alignment horizontal="center" vertical="center"/>
    </xf>
    <xf numFmtId="0" fontId="4" fillId="10" borderId="11" xfId="0" applyFont="1" applyFill="1" applyBorder="1" applyAlignment="1">
      <alignment horizontal="center" vertical="center"/>
    </xf>
    <xf numFmtId="0" fontId="3" fillId="10" borderId="24" xfId="0" applyFont="1" applyFill="1" applyBorder="1" applyAlignment="1">
      <alignment horizontal="center" vertical="center"/>
    </xf>
    <xf numFmtId="0" fontId="3" fillId="10" borderId="25" xfId="0" applyFont="1" applyFill="1" applyBorder="1" applyAlignment="1">
      <alignment horizontal="center" vertical="center"/>
    </xf>
    <xf numFmtId="0" fontId="0" fillId="0" borderId="2" xfId="0" applyBorder="1" applyAlignment="1">
      <alignment vertical="center"/>
    </xf>
    <xf numFmtId="0" fontId="0" fillId="3" borderId="43" xfId="0" applyFill="1" applyBorder="1" applyAlignment="1">
      <alignment horizontal="center" vertical="center"/>
    </xf>
    <xf numFmtId="0" fontId="13" fillId="0" borderId="2" xfId="0" applyFont="1" applyBorder="1" applyAlignment="1">
      <alignment horizontal="center" vertical="center"/>
    </xf>
    <xf numFmtId="0" fontId="5" fillId="11" borderId="3" xfId="0" applyFont="1" applyFill="1" applyBorder="1" applyAlignment="1">
      <alignment horizontal="center" vertical="center"/>
    </xf>
    <xf numFmtId="0" fontId="5" fillId="11" borderId="1" xfId="0" applyFont="1" applyFill="1" applyBorder="1" applyAlignment="1">
      <alignment horizontal="center" vertical="center"/>
    </xf>
    <xf numFmtId="0" fontId="5" fillId="11" borderId="1" xfId="0" applyFont="1" applyFill="1" applyBorder="1" applyAlignment="1">
      <alignment horizontal="left" vertical="center"/>
    </xf>
    <xf numFmtId="0" fontId="5" fillId="11" borderId="24" xfId="0" applyFont="1" applyFill="1" applyBorder="1" applyAlignment="1">
      <alignment horizontal="center" vertical="center"/>
    </xf>
    <xf numFmtId="0" fontId="12" fillId="11" borderId="49" xfId="0" applyFont="1" applyFill="1" applyBorder="1" applyAlignment="1">
      <alignment horizontal="center" vertical="center"/>
    </xf>
    <xf numFmtId="0" fontId="5" fillId="11" borderId="25" xfId="0" applyFont="1" applyFill="1" applyBorder="1" applyAlignment="1">
      <alignment horizontal="center" vertical="center"/>
    </xf>
    <xf numFmtId="0" fontId="5" fillId="11" borderId="9" xfId="0" applyFont="1" applyFill="1" applyBorder="1" applyAlignment="1">
      <alignment horizontal="center" vertical="center"/>
    </xf>
    <xf numFmtId="0" fontId="14" fillId="11" borderId="3" xfId="0" applyFont="1" applyFill="1" applyBorder="1" applyAlignment="1">
      <alignment horizontal="left" vertical="center"/>
    </xf>
    <xf numFmtId="0" fontId="15" fillId="11" borderId="1" xfId="0" applyFont="1" applyFill="1" applyBorder="1" applyAlignment="1">
      <alignment horizontal="left" vertical="center"/>
    </xf>
    <xf numFmtId="0" fontId="5" fillId="11" borderId="4"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28" xfId="0" applyFont="1" applyFill="1" applyBorder="1" applyAlignment="1">
      <alignment horizontal="center" vertical="center"/>
    </xf>
    <xf numFmtId="0" fontId="5" fillId="11" borderId="34" xfId="0" applyFont="1" applyFill="1" applyBorder="1" applyAlignment="1">
      <alignment horizontal="center" vertical="center"/>
    </xf>
    <xf numFmtId="0" fontId="16" fillId="0" borderId="0" xfId="0" applyFont="1"/>
    <xf numFmtId="0" fontId="4" fillId="8" borderId="0" xfId="0" applyFont="1" applyFill="1" applyAlignment="1">
      <alignment vertical="center"/>
    </xf>
    <xf numFmtId="0" fontId="4" fillId="12" borderId="0" xfId="0" applyFont="1" applyFill="1" applyAlignment="1">
      <alignment vertical="center"/>
    </xf>
    <xf numFmtId="0" fontId="4" fillId="7" borderId="0" xfId="0" applyFont="1" applyFill="1" applyAlignment="1">
      <alignment vertical="center"/>
    </xf>
    <xf numFmtId="0" fontId="3" fillId="6" borderId="0" xfId="0" applyFont="1" applyFill="1" applyAlignment="1">
      <alignment vertical="center"/>
    </xf>
    <xf numFmtId="0" fontId="17" fillId="5" borderId="0" xfId="0" applyFont="1" applyFill="1" applyAlignment="1">
      <alignment horizontal="left" vertical="center"/>
    </xf>
    <xf numFmtId="0" fontId="18" fillId="4" borderId="0" xfId="0" applyFont="1" applyFill="1" applyAlignment="1">
      <alignment vertical="center"/>
    </xf>
    <xf numFmtId="0" fontId="17" fillId="3" borderId="0" xfId="0" applyFont="1" applyFill="1" applyAlignment="1">
      <alignment vertical="center"/>
    </xf>
    <xf numFmtId="0" fontId="3" fillId="2" borderId="0" xfId="0" applyFont="1" applyFill="1" applyAlignment="1">
      <alignment vertical="center"/>
    </xf>
    <xf numFmtId="164" fontId="0" fillId="0" borderId="0" xfId="0" applyNumberFormat="1"/>
    <xf numFmtId="0" fontId="21" fillId="0" borderId="0" xfId="0" applyFont="1"/>
    <xf numFmtId="0" fontId="0" fillId="11" borderId="1" xfId="0" applyFill="1" applyBorder="1"/>
    <xf numFmtId="0" fontId="0" fillId="11" borderId="24" xfId="0" applyFill="1" applyBorder="1"/>
    <xf numFmtId="0" fontId="5" fillId="8" borderId="32" xfId="0" applyFont="1" applyFill="1" applyBorder="1" applyAlignment="1">
      <alignment vertical="center"/>
    </xf>
    <xf numFmtId="0" fontId="0" fillId="11" borderId="3" xfId="0" applyFill="1" applyBorder="1"/>
    <xf numFmtId="0" fontId="22" fillId="11" borderId="12" xfId="0" applyFont="1" applyFill="1" applyBorder="1"/>
    <xf numFmtId="0" fontId="22" fillId="11" borderId="13" xfId="0" applyFont="1" applyFill="1" applyBorder="1"/>
    <xf numFmtId="0" fontId="22" fillId="11" borderId="3" xfId="0" applyFont="1" applyFill="1" applyBorder="1"/>
    <xf numFmtId="0" fontId="22" fillId="11" borderId="1" xfId="0" applyFont="1" applyFill="1" applyBorder="1"/>
    <xf numFmtId="0" fontId="5" fillId="11" borderId="27"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10" xfId="0" applyFont="1" applyFill="1" applyBorder="1" applyAlignment="1">
      <alignment horizontal="center" vertical="center"/>
    </xf>
    <xf numFmtId="0" fontId="5" fillId="11" borderId="14" xfId="0" applyFont="1" applyFill="1" applyBorder="1" applyAlignment="1">
      <alignment horizontal="center" vertical="center"/>
    </xf>
    <xf numFmtId="0" fontId="5" fillId="11" borderId="16" xfId="0" applyFont="1" applyFill="1" applyBorder="1" applyAlignment="1">
      <alignment horizontal="center" vertical="center"/>
    </xf>
    <xf numFmtId="0" fontId="0" fillId="3" borderId="48" xfId="0" applyFill="1" applyBorder="1" applyAlignment="1">
      <alignment vertical="center"/>
    </xf>
    <xf numFmtId="0" fontId="5" fillId="11" borderId="12" xfId="0" applyFont="1" applyFill="1" applyBorder="1" applyAlignment="1">
      <alignment horizontal="center" vertical="center"/>
    </xf>
    <xf numFmtId="0" fontId="5" fillId="11" borderId="13" xfId="0" applyFont="1" applyFill="1" applyBorder="1" applyAlignment="1">
      <alignment horizontal="center" vertical="center"/>
    </xf>
    <xf numFmtId="0" fontId="3" fillId="0" borderId="2" xfId="0" applyFont="1" applyBorder="1" applyAlignment="1">
      <alignment vertical="center"/>
    </xf>
    <xf numFmtId="0" fontId="12" fillId="11" borderId="25" xfId="0" applyFont="1" applyFill="1" applyBorder="1" applyAlignment="1">
      <alignment horizontal="center" vertical="center"/>
    </xf>
    <xf numFmtId="0" fontId="12" fillId="11" borderId="32" xfId="0" applyFont="1" applyFill="1" applyBorder="1" applyAlignment="1">
      <alignment horizontal="center" vertical="center"/>
    </xf>
    <xf numFmtId="0" fontId="5" fillId="11" borderId="32" xfId="0" applyFont="1" applyFill="1" applyBorder="1" applyAlignment="1">
      <alignment horizontal="center" vertical="center"/>
    </xf>
    <xf numFmtId="0" fontId="12" fillId="11" borderId="24" xfId="0" applyFont="1" applyFill="1" applyBorder="1" applyAlignment="1">
      <alignment horizontal="center" vertical="center"/>
    </xf>
    <xf numFmtId="0" fontId="12" fillId="11" borderId="50" xfId="0" applyFont="1" applyFill="1" applyBorder="1" applyAlignment="1">
      <alignment horizontal="center" vertical="center"/>
    </xf>
    <xf numFmtId="0" fontId="12" fillId="11" borderId="34" xfId="0" applyFont="1" applyFill="1" applyBorder="1" applyAlignment="1">
      <alignment horizontal="center" vertical="center"/>
    </xf>
    <xf numFmtId="0" fontId="0" fillId="11" borderId="13" xfId="0" applyFill="1" applyBorder="1"/>
    <xf numFmtId="0" fontId="22" fillId="11" borderId="9" xfId="0" applyFont="1" applyFill="1" applyBorder="1"/>
    <xf numFmtId="0" fontId="23" fillId="0" borderId="0" xfId="0" applyFont="1" applyAlignment="1">
      <alignment wrapText="1"/>
    </xf>
    <xf numFmtId="0" fontId="23" fillId="0" borderId="0" xfId="0" applyFont="1"/>
    <xf numFmtId="0" fontId="3" fillId="2" borderId="1" xfId="0" applyFont="1" applyFill="1" applyBorder="1" applyAlignment="1">
      <alignment vertical="center"/>
    </xf>
    <xf numFmtId="0" fontId="4" fillId="3" borderId="1" xfId="0" applyFont="1" applyFill="1" applyBorder="1" applyAlignment="1">
      <alignment vertical="center"/>
    </xf>
    <xf numFmtId="0" fontId="3" fillId="3" borderId="1" xfId="0" applyFont="1" applyFill="1" applyBorder="1" applyAlignment="1">
      <alignment vertical="center"/>
    </xf>
    <xf numFmtId="0" fontId="4" fillId="4" borderId="1" xfId="0" applyFont="1" applyFill="1" applyBorder="1" applyAlignment="1">
      <alignment vertical="center"/>
    </xf>
    <xf numFmtId="0" fontId="3" fillId="5" borderId="1" xfId="0" applyFont="1" applyFill="1" applyBorder="1" applyAlignment="1">
      <alignment horizontal="left" vertical="center"/>
    </xf>
    <xf numFmtId="2" fontId="3" fillId="5" borderId="1" xfId="0" applyNumberFormat="1" applyFont="1" applyFill="1" applyBorder="1" applyAlignment="1">
      <alignment horizontal="left" vertical="center"/>
    </xf>
    <xf numFmtId="0" fontId="3" fillId="5" borderId="1" xfId="0" applyFont="1" applyFill="1" applyBorder="1" applyAlignment="1">
      <alignment vertical="center"/>
    </xf>
    <xf numFmtId="0" fontId="3" fillId="6" borderId="1" xfId="0" applyFont="1" applyFill="1" applyBorder="1" applyAlignment="1">
      <alignment vertical="center"/>
    </xf>
    <xf numFmtId="0" fontId="4" fillId="7" borderId="1" xfId="0" applyFont="1" applyFill="1" applyBorder="1" applyAlignment="1">
      <alignment vertical="center"/>
    </xf>
    <xf numFmtId="0" fontId="5" fillId="8" borderId="1" xfId="0" applyFont="1" applyFill="1" applyBorder="1" applyAlignment="1">
      <alignment vertical="center"/>
    </xf>
    <xf numFmtId="0" fontId="10" fillId="10" borderId="42" xfId="0" applyFont="1" applyFill="1" applyBorder="1" applyAlignment="1">
      <alignment horizontal="center" vertical="center" wrapText="1"/>
    </xf>
    <xf numFmtId="0" fontId="10" fillId="10" borderId="48" xfId="0" applyFont="1" applyFill="1" applyBorder="1" applyAlignment="1">
      <alignment horizontal="center" vertical="center" wrapText="1"/>
    </xf>
    <xf numFmtId="0" fontId="0" fillId="0" borderId="7" xfId="0" applyBorder="1" applyAlignment="1">
      <alignment horizontal="center"/>
    </xf>
    <xf numFmtId="0" fontId="0" fillId="0" borderId="8" xfId="0" applyBorder="1" applyAlignment="1">
      <alignment horizontal="center"/>
    </xf>
    <xf numFmtId="0" fontId="2" fillId="0" borderId="31" xfId="0" applyFont="1" applyBorder="1" applyAlignment="1">
      <alignment horizontal="center" wrapText="1"/>
    </xf>
    <xf numFmtId="0" fontId="2" fillId="0" borderId="25" xfId="0" applyFont="1" applyBorder="1" applyAlignment="1">
      <alignment horizontal="center"/>
    </xf>
    <xf numFmtId="0" fontId="2" fillId="0" borderId="32" xfId="0" applyFont="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29" xfId="0" applyFont="1" applyBorder="1" applyAlignment="1">
      <alignment horizontal="center"/>
    </xf>
    <xf numFmtId="0" fontId="0" fillId="0" borderId="19"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371475</xdr:colOff>
          <xdr:row>18</xdr:row>
          <xdr:rowOff>114300</xdr:rowOff>
        </xdr:from>
        <xdr:to>
          <xdr:col>14</xdr:col>
          <xdr:colOff>219075</xdr:colOff>
          <xdr:row>25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EDITION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85725</xdr:colOff>
          <xdr:row>29</xdr:row>
          <xdr:rowOff>190500</xdr:rowOff>
        </xdr:from>
        <xdr:to>
          <xdr:col>15</xdr:col>
          <xdr:colOff>66675</xdr:colOff>
          <xdr:row>33</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Ajout de congés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7C0A4-828A-4DE7-B498-5CFB373F591F}">
  <sheetPr codeName="Feuil6"/>
  <dimension ref="A1:A200"/>
  <sheetViews>
    <sheetView tabSelected="1" workbookViewId="0">
      <selection activeCell="A188" sqref="A188"/>
    </sheetView>
  </sheetViews>
  <sheetFormatPr baseColWidth="10" defaultRowHeight="15.75" x14ac:dyDescent="0.25"/>
  <cols>
    <col min="1" max="1" width="162.875" customWidth="1"/>
  </cols>
  <sheetData>
    <row r="1" spans="1:1" ht="15.75" customHeight="1" x14ac:dyDescent="0.25">
      <c r="A1" s="128" t="s">
        <v>180</v>
      </c>
    </row>
    <row r="2" spans="1:1" ht="15" customHeight="1" x14ac:dyDescent="0.25"/>
    <row r="3" spans="1:1" ht="30" customHeight="1" x14ac:dyDescent="0.25">
      <c r="A3" s="128" t="s">
        <v>152</v>
      </c>
    </row>
    <row r="4" spans="1:1" ht="30" customHeight="1" x14ac:dyDescent="0.25">
      <c r="A4" s="128" t="s">
        <v>153</v>
      </c>
    </row>
    <row r="5" spans="1:1" ht="30" customHeight="1" x14ac:dyDescent="0.25">
      <c r="A5" s="128" t="s">
        <v>154</v>
      </c>
    </row>
    <row r="7" spans="1:1" x14ac:dyDescent="0.25">
      <c r="A7" s="129" t="s">
        <v>155</v>
      </c>
    </row>
    <row r="9" spans="1:1" ht="30" customHeight="1" x14ac:dyDescent="0.25">
      <c r="A9" s="128" t="s">
        <v>156</v>
      </c>
    </row>
    <row r="11" spans="1:1" x14ac:dyDescent="0.25">
      <c r="A11" s="129" t="s">
        <v>157</v>
      </c>
    </row>
    <row r="13" spans="1:1" x14ac:dyDescent="0.25">
      <c r="A13" s="129" t="s">
        <v>158</v>
      </c>
    </row>
    <row r="15" spans="1:1" x14ac:dyDescent="0.25">
      <c r="A15" s="129" t="s">
        <v>159</v>
      </c>
    </row>
    <row r="16" spans="1:1" x14ac:dyDescent="0.25">
      <c r="A16" s="129"/>
    </row>
    <row r="17" spans="1:1" ht="45" customHeight="1" x14ac:dyDescent="0.25">
      <c r="A17" s="128" t="s">
        <v>160</v>
      </c>
    </row>
    <row r="200" spans="1:1" x14ac:dyDescent="0.25">
      <c r="A200" t="s">
        <v>181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748C1-15DF-42C5-BDB5-BBECF31C410A}">
  <sheetPr codeName="Feuil4"/>
  <dimension ref="A1:P33"/>
  <sheetViews>
    <sheetView zoomScale="80" zoomScaleNormal="80" workbookViewId="0">
      <selection activeCell="C33" sqref="C33"/>
    </sheetView>
  </sheetViews>
  <sheetFormatPr baseColWidth="10" defaultRowHeight="15.75" x14ac:dyDescent="0.25"/>
  <cols>
    <col min="2" max="2" width="16.125" bestFit="1" customWidth="1"/>
  </cols>
  <sheetData>
    <row r="1" spans="1:16" x14ac:dyDescent="0.25">
      <c r="A1" s="44" t="s">
        <v>9</v>
      </c>
      <c r="C1" s="92" t="s">
        <v>129</v>
      </c>
      <c r="J1">
        <v>1</v>
      </c>
      <c r="K1" t="s">
        <v>130</v>
      </c>
      <c r="M1" t="s">
        <v>20</v>
      </c>
      <c r="N1">
        <v>1</v>
      </c>
      <c r="O1" t="str">
        <f>"B"</f>
        <v>B</v>
      </c>
      <c r="P1" t="s">
        <v>140</v>
      </c>
    </row>
    <row r="2" spans="1:16" x14ac:dyDescent="0.25">
      <c r="A2" s="22" t="s">
        <v>5</v>
      </c>
      <c r="C2" t="s">
        <v>128</v>
      </c>
      <c r="D2" t="s">
        <v>128</v>
      </c>
      <c r="J2">
        <v>2</v>
      </c>
      <c r="K2" t="s">
        <v>131</v>
      </c>
      <c r="M2" t="s">
        <v>21</v>
      </c>
      <c r="N2">
        <v>2</v>
      </c>
      <c r="O2" t="str">
        <f>"AG"</f>
        <v>AG</v>
      </c>
      <c r="P2" t="s">
        <v>141</v>
      </c>
    </row>
    <row r="3" spans="1:16" x14ac:dyDescent="0.25">
      <c r="A3" s="23" t="s">
        <v>17</v>
      </c>
      <c r="C3" t="s">
        <v>127</v>
      </c>
      <c r="D3" t="s">
        <v>105</v>
      </c>
      <c r="J3">
        <v>3</v>
      </c>
      <c r="K3" t="s">
        <v>132</v>
      </c>
      <c r="M3" t="s">
        <v>22</v>
      </c>
      <c r="N3">
        <v>3</v>
      </c>
      <c r="O3" t="str">
        <f>"BI"</f>
        <v>BI</v>
      </c>
      <c r="P3" t="s">
        <v>142</v>
      </c>
    </row>
    <row r="4" spans="1:16" x14ac:dyDescent="0.25">
      <c r="A4" s="23" t="s">
        <v>1</v>
      </c>
      <c r="C4" t="s">
        <v>106</v>
      </c>
      <c r="D4" t="s">
        <v>126</v>
      </c>
      <c r="J4">
        <v>4</v>
      </c>
      <c r="K4" t="s">
        <v>133</v>
      </c>
      <c r="M4" t="s">
        <v>23</v>
      </c>
      <c r="N4">
        <v>4</v>
      </c>
      <c r="O4" t="str">
        <f>"CN"</f>
        <v>CN</v>
      </c>
      <c r="P4" t="s">
        <v>143</v>
      </c>
    </row>
    <row r="5" spans="1:16" x14ac:dyDescent="0.25">
      <c r="A5" s="24" t="s">
        <v>8</v>
      </c>
      <c r="C5" t="s">
        <v>125</v>
      </c>
      <c r="D5" t="s">
        <v>124</v>
      </c>
      <c r="J5">
        <v>5</v>
      </c>
      <c r="K5" t="s">
        <v>134</v>
      </c>
      <c r="M5" t="s">
        <v>24</v>
      </c>
      <c r="N5">
        <v>5</v>
      </c>
      <c r="O5" t="str">
        <f>"DR"</f>
        <v>DR</v>
      </c>
      <c r="P5" t="s">
        <v>144</v>
      </c>
    </row>
    <row r="6" spans="1:16" x14ac:dyDescent="0.25">
      <c r="A6" s="24" t="s">
        <v>7</v>
      </c>
      <c r="C6" t="s">
        <v>80</v>
      </c>
      <c r="D6" t="s">
        <v>123</v>
      </c>
      <c r="J6">
        <v>6</v>
      </c>
      <c r="K6" t="s">
        <v>135</v>
      </c>
      <c r="M6" t="s">
        <v>25</v>
      </c>
      <c r="N6">
        <v>6</v>
      </c>
      <c r="O6" t="str">
        <f>"EW"</f>
        <v>EW</v>
      </c>
      <c r="P6" t="s">
        <v>145</v>
      </c>
    </row>
    <row r="7" spans="1:16" x14ac:dyDescent="0.25">
      <c r="A7" s="25" t="s">
        <v>16</v>
      </c>
      <c r="C7" t="s">
        <v>122</v>
      </c>
      <c r="D7" t="s">
        <v>121</v>
      </c>
      <c r="J7">
        <v>7</v>
      </c>
      <c r="K7" t="s">
        <v>136</v>
      </c>
      <c r="M7" t="s">
        <v>26</v>
      </c>
      <c r="N7">
        <v>7</v>
      </c>
      <c r="O7" t="str">
        <f>"GA"</f>
        <v>GA</v>
      </c>
      <c r="P7" t="s">
        <v>146</v>
      </c>
    </row>
    <row r="8" spans="1:16" x14ac:dyDescent="0.25">
      <c r="A8" s="25" t="s">
        <v>0</v>
      </c>
      <c r="C8" t="s">
        <v>120</v>
      </c>
      <c r="D8" t="s">
        <v>119</v>
      </c>
      <c r="J8">
        <v>8</v>
      </c>
      <c r="M8" t="s">
        <v>27</v>
      </c>
      <c r="N8">
        <v>8</v>
      </c>
      <c r="O8" t="str">
        <f>"HF"</f>
        <v>HF</v>
      </c>
      <c r="P8" t="s">
        <v>147</v>
      </c>
    </row>
    <row r="9" spans="1:16" x14ac:dyDescent="0.25">
      <c r="A9" s="26" t="s">
        <v>18</v>
      </c>
      <c r="C9" t="s">
        <v>118</v>
      </c>
      <c r="D9" t="s">
        <v>117</v>
      </c>
      <c r="J9">
        <v>9</v>
      </c>
      <c r="M9" t="s">
        <v>28</v>
      </c>
      <c r="N9">
        <v>9</v>
      </c>
      <c r="O9" t="str">
        <f>"IK"</f>
        <v>IK</v>
      </c>
      <c r="P9" t="s">
        <v>148</v>
      </c>
    </row>
    <row r="10" spans="1:16" x14ac:dyDescent="0.25">
      <c r="A10" s="26" t="s">
        <v>2</v>
      </c>
      <c r="C10" t="s">
        <v>116</v>
      </c>
      <c r="D10" t="s">
        <v>115</v>
      </c>
      <c r="J10">
        <v>10</v>
      </c>
      <c r="M10" t="s">
        <v>29</v>
      </c>
      <c r="N10">
        <v>10</v>
      </c>
      <c r="O10" t="str">
        <f>"JO"</f>
        <v>JO</v>
      </c>
      <c r="P10" t="s">
        <v>149</v>
      </c>
    </row>
    <row r="11" spans="1:16" x14ac:dyDescent="0.25">
      <c r="A11" s="27" t="s">
        <v>15</v>
      </c>
      <c r="C11" t="s">
        <v>78</v>
      </c>
      <c r="D11" t="s">
        <v>114</v>
      </c>
      <c r="J11">
        <v>11</v>
      </c>
      <c r="M11" t="s">
        <v>30</v>
      </c>
      <c r="N11">
        <v>11</v>
      </c>
      <c r="O11" t="str">
        <f>"KT"</f>
        <v>KT</v>
      </c>
      <c r="P11" t="s">
        <v>150</v>
      </c>
    </row>
    <row r="12" spans="1:16" x14ac:dyDescent="0.25">
      <c r="A12" s="27" t="s">
        <v>38</v>
      </c>
      <c r="C12" t="s">
        <v>113</v>
      </c>
      <c r="D12" t="s">
        <v>112</v>
      </c>
      <c r="J12">
        <v>12</v>
      </c>
      <c r="M12" t="s">
        <v>31</v>
      </c>
      <c r="N12">
        <v>12</v>
      </c>
      <c r="O12" t="str">
        <f>"LX"</f>
        <v>LX</v>
      </c>
      <c r="P12" t="s">
        <v>151</v>
      </c>
    </row>
    <row r="13" spans="1:16" x14ac:dyDescent="0.25">
      <c r="A13" s="27" t="s">
        <v>3</v>
      </c>
      <c r="C13" s="100"/>
      <c r="D13" t="s">
        <v>111</v>
      </c>
      <c r="H13" s="102"/>
      <c r="J13">
        <v>13</v>
      </c>
    </row>
    <row r="14" spans="1:16" x14ac:dyDescent="0.25">
      <c r="A14" s="27" t="s">
        <v>6</v>
      </c>
      <c r="C14" s="99"/>
      <c r="D14" t="s">
        <v>110</v>
      </c>
      <c r="J14">
        <v>14</v>
      </c>
      <c r="O14" t="s">
        <v>138</v>
      </c>
      <c r="P14" t="s">
        <v>139</v>
      </c>
    </row>
    <row r="15" spans="1:16" x14ac:dyDescent="0.25">
      <c r="A15" s="27" t="s">
        <v>39</v>
      </c>
      <c r="C15" s="98"/>
      <c r="D15" t="s">
        <v>109</v>
      </c>
      <c r="J15">
        <v>15</v>
      </c>
    </row>
    <row r="16" spans="1:16" x14ac:dyDescent="0.25">
      <c r="A16" s="27" t="s">
        <v>12</v>
      </c>
      <c r="C16" s="97"/>
      <c r="D16" t="s">
        <v>108</v>
      </c>
      <c r="J16">
        <v>16</v>
      </c>
    </row>
    <row r="17" spans="1:10" x14ac:dyDescent="0.25">
      <c r="A17" s="27" t="s">
        <v>14</v>
      </c>
      <c r="C17" s="96"/>
      <c r="D17" t="s">
        <v>107</v>
      </c>
      <c r="J17">
        <v>17</v>
      </c>
    </row>
    <row r="18" spans="1:10" x14ac:dyDescent="0.25">
      <c r="A18" s="28" t="s">
        <v>4</v>
      </c>
      <c r="C18" s="95"/>
      <c r="D18" t="s">
        <v>106</v>
      </c>
      <c r="J18">
        <v>18</v>
      </c>
    </row>
    <row r="19" spans="1:10" x14ac:dyDescent="0.25">
      <c r="A19" s="27" t="s">
        <v>40</v>
      </c>
      <c r="C19" s="94"/>
      <c r="D19" t="s">
        <v>105</v>
      </c>
      <c r="J19">
        <v>19</v>
      </c>
    </row>
    <row r="20" spans="1:10" x14ac:dyDescent="0.25">
      <c r="A20" s="27" t="s">
        <v>41</v>
      </c>
      <c r="C20" s="93"/>
      <c r="D20" t="s">
        <v>104</v>
      </c>
      <c r="J20">
        <v>20</v>
      </c>
    </row>
    <row r="21" spans="1:10" x14ac:dyDescent="0.25">
      <c r="A21" s="27" t="s">
        <v>42</v>
      </c>
      <c r="J21">
        <v>21</v>
      </c>
    </row>
    <row r="22" spans="1:10" x14ac:dyDescent="0.25">
      <c r="A22" s="45" t="s">
        <v>19</v>
      </c>
      <c r="C22" s="92" t="s">
        <v>137</v>
      </c>
      <c r="J22">
        <v>22</v>
      </c>
    </row>
    <row r="23" spans="1:10" x14ac:dyDescent="0.25">
      <c r="A23" s="45" t="s">
        <v>10</v>
      </c>
      <c r="C23" t="s">
        <v>103</v>
      </c>
      <c r="D23" t="s">
        <v>102</v>
      </c>
      <c r="J23">
        <v>23</v>
      </c>
    </row>
    <row r="24" spans="1:10" x14ac:dyDescent="0.25">
      <c r="A24" s="45" t="s">
        <v>13</v>
      </c>
      <c r="C24" t="s">
        <v>101</v>
      </c>
      <c r="D24" t="s">
        <v>100</v>
      </c>
      <c r="J24">
        <v>24</v>
      </c>
    </row>
    <row r="25" spans="1:10" x14ac:dyDescent="0.25">
      <c r="A25" s="46" t="s">
        <v>11</v>
      </c>
      <c r="C25" t="s">
        <v>99</v>
      </c>
      <c r="D25" t="s">
        <v>98</v>
      </c>
      <c r="J25">
        <v>25</v>
      </c>
    </row>
    <row r="26" spans="1:10" x14ac:dyDescent="0.25">
      <c r="C26" t="s">
        <v>97</v>
      </c>
      <c r="D26" t="s">
        <v>96</v>
      </c>
      <c r="J26">
        <v>26</v>
      </c>
    </row>
    <row r="27" spans="1:10" x14ac:dyDescent="0.25">
      <c r="C27" t="s">
        <v>95</v>
      </c>
      <c r="D27" t="s">
        <v>94</v>
      </c>
      <c r="J27">
        <v>27</v>
      </c>
    </row>
    <row r="28" spans="1:10" x14ac:dyDescent="0.25">
      <c r="C28" t="s">
        <v>93</v>
      </c>
      <c r="D28" t="s">
        <v>92</v>
      </c>
      <c r="J28">
        <v>28</v>
      </c>
    </row>
    <row r="29" spans="1:10" x14ac:dyDescent="0.25">
      <c r="C29" t="s">
        <v>91</v>
      </c>
      <c r="D29" t="s">
        <v>90</v>
      </c>
      <c r="J29">
        <v>29</v>
      </c>
    </row>
    <row r="30" spans="1:10" x14ac:dyDescent="0.25">
      <c r="C30" t="s">
        <v>78</v>
      </c>
      <c r="D30" t="s">
        <v>89</v>
      </c>
      <c r="J30">
        <v>30</v>
      </c>
    </row>
    <row r="31" spans="1:10" x14ac:dyDescent="0.25">
      <c r="C31" t="s">
        <v>88</v>
      </c>
      <c r="D31" t="s">
        <v>87</v>
      </c>
      <c r="E31" t="s">
        <v>86</v>
      </c>
      <c r="J31">
        <v>31</v>
      </c>
    </row>
    <row r="33" spans="2:2" x14ac:dyDescent="0.25">
      <c r="B33" s="101"/>
    </row>
  </sheetData>
  <phoneticPr fontId="1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dit">
                <anchor moveWithCells="1" sizeWithCells="1">
                  <from>
                    <xdr:col>11</xdr:col>
                    <xdr:colOff>371475</xdr:colOff>
                    <xdr:row>18</xdr:row>
                    <xdr:rowOff>114300</xdr:rowOff>
                  </from>
                  <to>
                    <xdr:col>14</xdr:col>
                    <xdr:colOff>219075</xdr:colOff>
                    <xdr:row>25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EF192-2E0D-C94C-B7A5-361C3D8305FE}">
  <sheetPr codeName="Feuil1"/>
  <dimension ref="A1:AE203"/>
  <sheetViews>
    <sheetView workbookViewId="0">
      <selection activeCell="A32" sqref="A32"/>
    </sheetView>
  </sheetViews>
  <sheetFormatPr baseColWidth="10" defaultRowHeight="15.75" x14ac:dyDescent="0.25"/>
  <cols>
    <col min="1" max="1" width="13.25" customWidth="1"/>
    <col min="2" max="2" width="9.125" customWidth="1"/>
    <col min="3" max="3" width="8" customWidth="1"/>
    <col min="4" max="4" width="9.75" customWidth="1"/>
    <col min="5" max="5" width="9.125" customWidth="1"/>
  </cols>
  <sheetData>
    <row r="1" spans="1:31" x14ac:dyDescent="0.25">
      <c r="A1" s="48" t="s">
        <v>45</v>
      </c>
      <c r="B1" s="49" t="s">
        <v>46</v>
      </c>
      <c r="C1" s="50" t="s">
        <v>47</v>
      </c>
      <c r="D1" s="50" t="s">
        <v>48</v>
      </c>
      <c r="E1" s="50" t="s">
        <v>49</v>
      </c>
      <c r="F1" s="50" t="s">
        <v>50</v>
      </c>
      <c r="G1" s="51" t="s">
        <v>51</v>
      </c>
      <c r="H1" s="52" t="s">
        <v>52</v>
      </c>
      <c r="I1" s="53" t="s">
        <v>53</v>
      </c>
      <c r="J1" s="53" t="s">
        <v>54</v>
      </c>
      <c r="K1" s="54" t="s">
        <v>55</v>
      </c>
      <c r="L1" s="55" t="s">
        <v>56</v>
      </c>
      <c r="M1" s="56" t="s">
        <v>57</v>
      </c>
      <c r="N1" s="56" t="s">
        <v>58</v>
      </c>
      <c r="O1" s="57" t="s">
        <v>59</v>
      </c>
      <c r="P1" s="52" t="s">
        <v>60</v>
      </c>
      <c r="Q1" s="53" t="s">
        <v>61</v>
      </c>
      <c r="R1" s="53" t="s">
        <v>62</v>
      </c>
      <c r="S1" s="53" t="s">
        <v>63</v>
      </c>
      <c r="T1" s="53" t="s">
        <v>64</v>
      </c>
      <c r="U1" s="54" t="s">
        <v>65</v>
      </c>
      <c r="V1" s="55" t="s">
        <v>66</v>
      </c>
      <c r="W1" s="56" t="s">
        <v>67</v>
      </c>
      <c r="X1" s="56" t="s">
        <v>68</v>
      </c>
      <c r="Y1" s="56" t="s">
        <v>69</v>
      </c>
      <c r="Z1" s="56" t="s">
        <v>70</v>
      </c>
      <c r="AA1" s="57" t="s">
        <v>71</v>
      </c>
      <c r="AB1" s="58" t="s">
        <v>72</v>
      </c>
      <c r="AC1" s="59" t="s">
        <v>73</v>
      </c>
      <c r="AD1" s="140" t="s">
        <v>74</v>
      </c>
      <c r="AE1" s="60" t="s">
        <v>75</v>
      </c>
    </row>
    <row r="2" spans="1:31" ht="19.5" thickBot="1" x14ac:dyDescent="0.3">
      <c r="A2" s="61"/>
      <c r="B2" s="62" t="s">
        <v>47</v>
      </c>
      <c r="C2" s="63" t="s">
        <v>48</v>
      </c>
      <c r="D2" s="63" t="s">
        <v>49</v>
      </c>
      <c r="E2" s="63" t="s">
        <v>50</v>
      </c>
      <c r="F2" s="63" t="s">
        <v>51</v>
      </c>
      <c r="G2" s="64" t="s">
        <v>52</v>
      </c>
      <c r="H2" s="65" t="s">
        <v>53</v>
      </c>
      <c r="I2" s="66" t="s">
        <v>54</v>
      </c>
      <c r="J2" s="66" t="s">
        <v>55</v>
      </c>
      <c r="K2" s="67" t="s">
        <v>56</v>
      </c>
      <c r="L2" s="68" t="s">
        <v>57</v>
      </c>
      <c r="M2" s="69" t="s">
        <v>58</v>
      </c>
      <c r="N2" s="69" t="s">
        <v>59</v>
      </c>
      <c r="O2" s="70" t="s">
        <v>60</v>
      </c>
      <c r="P2" s="65" t="s">
        <v>61</v>
      </c>
      <c r="Q2" s="66" t="s">
        <v>62</v>
      </c>
      <c r="R2" s="66" t="s">
        <v>63</v>
      </c>
      <c r="S2" s="66" t="s">
        <v>64</v>
      </c>
      <c r="T2" s="66" t="s">
        <v>65</v>
      </c>
      <c r="U2" s="67" t="s">
        <v>66</v>
      </c>
      <c r="V2" s="68" t="s">
        <v>67</v>
      </c>
      <c r="W2" s="69" t="s">
        <v>68</v>
      </c>
      <c r="X2" s="69" t="s">
        <v>69</v>
      </c>
      <c r="Y2" s="69" t="s">
        <v>70</v>
      </c>
      <c r="Z2" s="69" t="s">
        <v>71</v>
      </c>
      <c r="AA2" s="70" t="s">
        <v>72</v>
      </c>
      <c r="AB2" s="71" t="s">
        <v>73</v>
      </c>
      <c r="AC2" s="72" t="s">
        <v>76</v>
      </c>
      <c r="AD2" s="141"/>
      <c r="AE2" s="73" t="s">
        <v>77</v>
      </c>
    </row>
    <row r="3" spans="1:31" x14ac:dyDescent="0.25">
      <c r="A3" s="44" t="s">
        <v>9</v>
      </c>
      <c r="B3" s="79"/>
      <c r="C3" s="80"/>
      <c r="D3" s="80"/>
      <c r="E3" s="80"/>
      <c r="F3" s="80"/>
      <c r="G3" s="80"/>
      <c r="H3" s="80"/>
      <c r="I3" s="80"/>
      <c r="J3" s="80"/>
      <c r="K3" s="80"/>
      <c r="L3" s="80"/>
      <c r="M3" s="80"/>
      <c r="N3" s="80"/>
      <c r="O3" s="80"/>
      <c r="P3" s="80"/>
      <c r="Q3" s="80"/>
      <c r="R3" s="80"/>
      <c r="S3" s="80"/>
      <c r="T3" s="81"/>
      <c r="U3" s="80"/>
      <c r="V3" s="80"/>
      <c r="W3" s="80"/>
      <c r="X3" s="80"/>
      <c r="Y3" s="80"/>
      <c r="Z3" s="80"/>
      <c r="AA3" s="80"/>
      <c r="AB3" s="80"/>
      <c r="AC3" s="82"/>
      <c r="AD3" s="83"/>
      <c r="AE3" s="74">
        <f t="shared" ref="AE3:AE28" ca="1" si="0">(nbColor(B3:AC3)/2)-AD3</f>
        <v>0</v>
      </c>
    </row>
    <row r="4" spans="1:31" x14ac:dyDescent="0.25">
      <c r="A4" s="22" t="s">
        <v>5</v>
      </c>
      <c r="B4" s="79"/>
      <c r="C4" s="80"/>
      <c r="D4" s="80"/>
      <c r="E4" s="80"/>
      <c r="F4" s="80"/>
      <c r="G4" s="80"/>
      <c r="H4" s="80"/>
      <c r="I4" s="80"/>
      <c r="J4" s="80"/>
      <c r="K4" s="80"/>
      <c r="L4" s="80"/>
      <c r="M4" s="80"/>
      <c r="N4" s="80"/>
      <c r="O4" s="80"/>
      <c r="P4" s="80"/>
      <c r="Q4" s="80"/>
      <c r="R4" s="80"/>
      <c r="S4" s="80"/>
      <c r="T4" s="80"/>
      <c r="U4" s="80"/>
      <c r="V4" s="80"/>
      <c r="W4" s="80"/>
      <c r="X4" s="80"/>
      <c r="Y4" s="80"/>
      <c r="Z4" s="80"/>
      <c r="AA4" s="80"/>
      <c r="AB4" s="80"/>
      <c r="AC4" s="84"/>
      <c r="AD4" s="83"/>
      <c r="AE4" s="75">
        <f t="shared" ca="1" si="0"/>
        <v>0</v>
      </c>
    </row>
    <row r="5" spans="1:31" x14ac:dyDescent="0.25">
      <c r="A5" s="23" t="s">
        <v>17</v>
      </c>
      <c r="B5" s="79"/>
      <c r="C5" s="80"/>
      <c r="D5" s="80"/>
      <c r="E5" s="80"/>
      <c r="F5" s="80"/>
      <c r="G5" s="80"/>
      <c r="H5" s="80"/>
      <c r="I5" s="80"/>
      <c r="J5" s="80"/>
      <c r="K5" s="80"/>
      <c r="L5" s="80"/>
      <c r="M5" s="80"/>
      <c r="N5" s="80"/>
      <c r="O5" s="80"/>
      <c r="P5" s="80"/>
      <c r="Q5" s="80"/>
      <c r="R5" s="80"/>
      <c r="S5" s="80"/>
      <c r="T5" s="80"/>
      <c r="U5" s="80"/>
      <c r="V5" s="80"/>
      <c r="W5" s="80"/>
      <c r="X5" s="80"/>
      <c r="Y5" s="80"/>
      <c r="Z5" s="80"/>
      <c r="AA5" s="80"/>
      <c r="AB5" s="80"/>
      <c r="AC5" s="84"/>
      <c r="AD5" s="83"/>
      <c r="AE5" s="75">
        <f t="shared" ca="1" si="0"/>
        <v>0</v>
      </c>
    </row>
    <row r="6" spans="1:31" x14ac:dyDescent="0.25">
      <c r="A6" s="23" t="s">
        <v>1</v>
      </c>
      <c r="B6" s="79"/>
      <c r="C6" s="80"/>
      <c r="D6" s="80"/>
      <c r="E6" s="80"/>
      <c r="F6" s="80"/>
      <c r="G6" s="80"/>
      <c r="H6" s="80"/>
      <c r="I6" s="80"/>
      <c r="J6" s="80"/>
      <c r="K6" s="80"/>
      <c r="L6" s="80"/>
      <c r="M6" s="80"/>
      <c r="N6" s="80"/>
      <c r="O6" s="80"/>
      <c r="P6" s="80"/>
      <c r="Q6" s="80"/>
      <c r="R6" s="80"/>
      <c r="S6" s="80"/>
      <c r="T6" s="80"/>
      <c r="U6" s="80"/>
      <c r="V6" s="80"/>
      <c r="W6" s="80"/>
      <c r="X6" s="80"/>
      <c r="Y6" s="80"/>
      <c r="Z6" s="80"/>
      <c r="AA6" s="80"/>
      <c r="AB6" s="85"/>
      <c r="AC6" s="84"/>
      <c r="AD6" s="83"/>
      <c r="AE6" s="75">
        <f t="shared" ca="1" si="0"/>
        <v>0</v>
      </c>
    </row>
    <row r="7" spans="1:31" x14ac:dyDescent="0.25">
      <c r="A7" s="24" t="s">
        <v>8</v>
      </c>
      <c r="B7" s="79"/>
      <c r="C7" s="80"/>
      <c r="D7" s="80"/>
      <c r="E7" s="80"/>
      <c r="F7" s="80"/>
      <c r="G7" s="80"/>
      <c r="H7" s="80"/>
      <c r="I7" s="80"/>
      <c r="J7" s="80"/>
      <c r="K7" s="80"/>
      <c r="L7" s="80"/>
      <c r="M7" s="80"/>
      <c r="N7" s="80"/>
      <c r="O7" s="80"/>
      <c r="P7" s="80"/>
      <c r="Q7" s="80"/>
      <c r="R7" s="80"/>
      <c r="S7" s="80"/>
      <c r="T7" s="80"/>
      <c r="U7" s="80"/>
      <c r="V7" s="80"/>
      <c r="W7" s="80"/>
      <c r="X7" s="80"/>
      <c r="Y7" s="80"/>
      <c r="Z7" s="80"/>
      <c r="AA7" s="80"/>
      <c r="AB7" s="85"/>
      <c r="AC7" s="84"/>
      <c r="AD7" s="83"/>
      <c r="AE7" s="75">
        <f t="shared" ca="1" si="0"/>
        <v>0</v>
      </c>
    </row>
    <row r="8" spans="1:31" x14ac:dyDescent="0.25">
      <c r="A8" s="24" t="s">
        <v>7</v>
      </c>
      <c r="B8" s="79"/>
      <c r="C8" s="80"/>
      <c r="D8" s="80"/>
      <c r="E8" s="80"/>
      <c r="F8" s="80"/>
      <c r="G8" s="80"/>
      <c r="H8" s="80"/>
      <c r="I8" s="80"/>
      <c r="J8" s="80"/>
      <c r="K8" s="80"/>
      <c r="L8" s="80"/>
      <c r="M8" s="80"/>
      <c r="N8" s="80"/>
      <c r="O8" s="80"/>
      <c r="P8" s="80"/>
      <c r="Q8" s="80"/>
      <c r="R8" s="80"/>
      <c r="S8" s="80"/>
      <c r="T8" s="80"/>
      <c r="U8" s="80"/>
      <c r="V8" s="80"/>
      <c r="W8" s="80"/>
      <c r="X8" s="80"/>
      <c r="Y8" s="80"/>
      <c r="Z8" s="80"/>
      <c r="AA8" s="80"/>
      <c r="AB8" s="85"/>
      <c r="AC8" s="84"/>
      <c r="AD8" s="83"/>
      <c r="AE8" s="75">
        <f t="shared" ca="1" si="0"/>
        <v>0</v>
      </c>
    </row>
    <row r="9" spans="1:31" x14ac:dyDescent="0.25">
      <c r="A9" s="25" t="s">
        <v>16</v>
      </c>
      <c r="B9" s="79"/>
      <c r="C9" s="81"/>
      <c r="D9" s="80"/>
      <c r="E9" s="80"/>
      <c r="F9" s="80"/>
      <c r="G9" s="80"/>
      <c r="H9" s="80"/>
      <c r="I9" s="80"/>
      <c r="J9" s="80"/>
      <c r="K9" s="80"/>
      <c r="L9" s="80"/>
      <c r="M9" s="80"/>
      <c r="N9" s="80"/>
      <c r="O9" s="80"/>
      <c r="P9" s="80"/>
      <c r="Q9" s="80"/>
      <c r="R9" s="80"/>
      <c r="S9" s="80"/>
      <c r="T9" s="80"/>
      <c r="U9" s="80"/>
      <c r="V9" s="80"/>
      <c r="W9" s="80"/>
      <c r="X9" s="80"/>
      <c r="Y9" s="80"/>
      <c r="Z9" s="80"/>
      <c r="AA9" s="80"/>
      <c r="AB9" s="80"/>
      <c r="AC9" s="82"/>
      <c r="AD9" s="83"/>
      <c r="AE9" s="75">
        <f t="shared" ca="1" si="0"/>
        <v>0</v>
      </c>
    </row>
    <row r="10" spans="1:31" x14ac:dyDescent="0.25">
      <c r="A10" s="25" t="s">
        <v>0</v>
      </c>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2"/>
      <c r="AD10" s="83"/>
      <c r="AE10" s="75">
        <f t="shared" ca="1" si="0"/>
        <v>0</v>
      </c>
    </row>
    <row r="11" spans="1:31" x14ac:dyDescent="0.25">
      <c r="A11" s="26" t="s">
        <v>18</v>
      </c>
      <c r="B11" s="86"/>
      <c r="C11" s="80"/>
      <c r="D11" s="80"/>
      <c r="E11" s="80"/>
      <c r="F11" s="80"/>
      <c r="G11" s="87"/>
      <c r="H11" s="80"/>
      <c r="I11" s="80"/>
      <c r="J11" s="80"/>
      <c r="K11" s="80"/>
      <c r="L11" s="80"/>
      <c r="M11" s="80"/>
      <c r="N11" s="80"/>
      <c r="O11" s="80"/>
      <c r="P11" s="80"/>
      <c r="Q11" s="80"/>
      <c r="R11" s="80"/>
      <c r="S11" s="80"/>
      <c r="T11" s="80"/>
      <c r="U11" s="80"/>
      <c r="V11" s="80"/>
      <c r="W11" s="80"/>
      <c r="X11" s="80"/>
      <c r="Y11" s="80"/>
      <c r="Z11" s="80"/>
      <c r="AA11" s="80"/>
      <c r="AB11" s="80"/>
      <c r="AC11" s="82"/>
      <c r="AD11" s="83"/>
      <c r="AE11" s="75">
        <f t="shared" ca="1" si="0"/>
        <v>0</v>
      </c>
    </row>
    <row r="12" spans="1:31" x14ac:dyDescent="0.25">
      <c r="A12" s="26" t="s">
        <v>2</v>
      </c>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5"/>
      <c r="AC12" s="84"/>
      <c r="AD12" s="83"/>
      <c r="AE12" s="75">
        <f t="shared" ca="1" si="0"/>
        <v>0</v>
      </c>
    </row>
    <row r="13" spans="1:31" x14ac:dyDescent="0.25">
      <c r="A13" s="27" t="s">
        <v>15</v>
      </c>
      <c r="B13" s="86"/>
      <c r="C13" s="80"/>
      <c r="D13" s="80"/>
      <c r="E13" s="80"/>
      <c r="F13" s="80"/>
      <c r="G13" s="87"/>
      <c r="H13" s="80"/>
      <c r="I13" s="80"/>
      <c r="J13" s="80"/>
      <c r="K13" s="80"/>
      <c r="L13" s="80"/>
      <c r="M13" s="80"/>
      <c r="N13" s="80"/>
      <c r="O13" s="80"/>
      <c r="P13" s="80"/>
      <c r="Q13" s="80"/>
      <c r="R13" s="80"/>
      <c r="S13" s="80"/>
      <c r="T13" s="80"/>
      <c r="U13" s="80"/>
      <c r="V13" s="80"/>
      <c r="W13" s="80"/>
      <c r="X13" s="80"/>
      <c r="Y13" s="80"/>
      <c r="Z13" s="80"/>
      <c r="AA13" s="80"/>
      <c r="AB13" s="80"/>
      <c r="AC13" s="84"/>
      <c r="AD13" s="83"/>
      <c r="AE13" s="75">
        <f t="shared" ca="1" si="0"/>
        <v>0</v>
      </c>
    </row>
    <row r="14" spans="1:31" x14ac:dyDescent="0.25">
      <c r="A14" s="27" t="s">
        <v>38</v>
      </c>
      <c r="B14" s="79"/>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4"/>
      <c r="AD14" s="83"/>
      <c r="AE14" s="75">
        <f t="shared" ca="1" si="0"/>
        <v>0</v>
      </c>
    </row>
    <row r="15" spans="1:31" x14ac:dyDescent="0.25">
      <c r="A15" s="27" t="s">
        <v>3</v>
      </c>
      <c r="B15" s="79"/>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4"/>
      <c r="AD15" s="83"/>
      <c r="AE15" s="75">
        <f t="shared" ca="1" si="0"/>
        <v>0</v>
      </c>
    </row>
    <row r="16" spans="1:31" x14ac:dyDescent="0.25">
      <c r="A16" s="27" t="s">
        <v>6</v>
      </c>
      <c r="B16" s="79"/>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5"/>
      <c r="AC16" s="84"/>
      <c r="AD16" s="83"/>
      <c r="AE16" s="75">
        <f t="shared" ca="1" si="0"/>
        <v>0</v>
      </c>
    </row>
    <row r="17" spans="1:31" x14ac:dyDescent="0.25">
      <c r="A17" s="27" t="s">
        <v>39</v>
      </c>
      <c r="B17" s="79"/>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4"/>
      <c r="AD17" s="83"/>
      <c r="AE17" s="75">
        <f t="shared" ca="1" si="0"/>
        <v>0</v>
      </c>
    </row>
    <row r="18" spans="1:31" x14ac:dyDescent="0.25">
      <c r="A18" s="27" t="s">
        <v>12</v>
      </c>
      <c r="B18" s="79"/>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4"/>
      <c r="AD18" s="83"/>
      <c r="AE18" s="75">
        <f t="shared" ca="1" si="0"/>
        <v>0</v>
      </c>
    </row>
    <row r="19" spans="1:31" x14ac:dyDescent="0.25">
      <c r="A19" s="27" t="s">
        <v>14</v>
      </c>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4"/>
      <c r="AD19" s="83"/>
      <c r="AE19" s="75">
        <f t="shared" ca="1" si="0"/>
        <v>0</v>
      </c>
    </row>
    <row r="20" spans="1:31" x14ac:dyDescent="0.25">
      <c r="A20" s="28" t="s">
        <v>4</v>
      </c>
      <c r="B20" s="118"/>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85"/>
      <c r="AC20" s="84"/>
      <c r="AD20" s="83"/>
      <c r="AE20" s="75">
        <f t="shared" ca="1" si="0"/>
        <v>0</v>
      </c>
    </row>
    <row r="21" spans="1:31" x14ac:dyDescent="0.25">
      <c r="A21" s="27" t="s">
        <v>40</v>
      </c>
      <c r="B21" s="115"/>
      <c r="C21" s="118"/>
      <c r="D21" s="118"/>
      <c r="E21" s="118"/>
      <c r="F21" s="118"/>
      <c r="G21" s="118"/>
      <c r="H21" s="118"/>
      <c r="I21" s="118"/>
      <c r="J21" s="118"/>
      <c r="K21" s="118"/>
      <c r="L21" s="118"/>
      <c r="M21" s="118"/>
      <c r="N21" s="118"/>
      <c r="O21" s="118"/>
      <c r="P21" s="118"/>
      <c r="Q21" s="118"/>
      <c r="R21" s="118"/>
      <c r="S21" s="118"/>
      <c r="T21" s="118"/>
      <c r="U21" s="118"/>
      <c r="V21" s="118"/>
      <c r="W21" s="118"/>
      <c r="X21" s="118"/>
      <c r="Y21" s="118"/>
      <c r="Z21" s="118"/>
      <c r="AA21" s="118"/>
      <c r="AB21" s="85"/>
      <c r="AC21" s="84"/>
      <c r="AD21" s="124"/>
      <c r="AE21" s="75">
        <f t="shared" ca="1" si="0"/>
        <v>0</v>
      </c>
    </row>
    <row r="22" spans="1:31" x14ac:dyDescent="0.25">
      <c r="A22" s="27" t="s">
        <v>41</v>
      </c>
      <c r="B22" s="117"/>
      <c r="C22" s="118"/>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118"/>
      <c r="AB22" s="114"/>
      <c r="AC22" s="84"/>
      <c r="AD22" s="123"/>
      <c r="AE22" s="75">
        <f t="shared" ca="1" si="0"/>
        <v>0</v>
      </c>
    </row>
    <row r="23" spans="1:31" x14ac:dyDescent="0.25">
      <c r="A23" s="27" t="s">
        <v>42</v>
      </c>
      <c r="B23" s="79"/>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5"/>
      <c r="AC23" s="84"/>
      <c r="AD23" s="120"/>
      <c r="AE23" s="75">
        <f t="shared" ca="1" si="0"/>
        <v>0</v>
      </c>
    </row>
    <row r="24" spans="1:31" x14ac:dyDescent="0.25">
      <c r="A24" s="45" t="s">
        <v>19</v>
      </c>
      <c r="B24" s="79"/>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5"/>
      <c r="AC24" s="84"/>
      <c r="AD24" s="120"/>
      <c r="AE24" s="75">
        <f t="shared" ca="1" si="0"/>
        <v>0</v>
      </c>
    </row>
    <row r="25" spans="1:31" x14ac:dyDescent="0.25">
      <c r="A25" s="45" t="s">
        <v>10</v>
      </c>
      <c r="B25" s="111"/>
      <c r="C25" s="112"/>
      <c r="D25" s="112"/>
      <c r="E25" s="112"/>
      <c r="F25" s="112"/>
      <c r="G25" s="112"/>
      <c r="H25" s="112"/>
      <c r="I25" s="112"/>
      <c r="J25" s="112"/>
      <c r="K25" s="112"/>
      <c r="L25" s="112"/>
      <c r="M25" s="112"/>
      <c r="N25" s="112"/>
      <c r="O25" s="112"/>
      <c r="P25" s="112"/>
      <c r="Q25" s="112"/>
      <c r="R25" s="112"/>
      <c r="S25" s="112"/>
      <c r="T25" s="112"/>
      <c r="U25" s="112"/>
      <c r="V25" s="112"/>
      <c r="W25" s="112"/>
      <c r="X25" s="112"/>
      <c r="Y25" s="112"/>
      <c r="Z25" s="112"/>
      <c r="AA25" s="112"/>
      <c r="AB25" s="90"/>
      <c r="AC25" s="91"/>
      <c r="AD25" s="120"/>
      <c r="AE25" s="75">
        <f t="shared" ca="1" si="0"/>
        <v>0</v>
      </c>
    </row>
    <row r="26" spans="1:31" x14ac:dyDescent="0.25">
      <c r="A26" s="45" t="s">
        <v>13</v>
      </c>
      <c r="B26" s="111"/>
      <c r="C26" s="112"/>
      <c r="D26" s="112"/>
      <c r="E26" s="112"/>
      <c r="F26" s="112"/>
      <c r="G26" s="112"/>
      <c r="H26" s="112"/>
      <c r="I26" s="112"/>
      <c r="J26" s="112"/>
      <c r="K26" s="112"/>
      <c r="L26" s="112"/>
      <c r="M26" s="112"/>
      <c r="N26" s="112"/>
      <c r="O26" s="112"/>
      <c r="P26" s="112"/>
      <c r="Q26" s="112"/>
      <c r="R26" s="112"/>
      <c r="S26" s="112"/>
      <c r="T26" s="112"/>
      <c r="U26" s="112"/>
      <c r="V26" s="112"/>
      <c r="W26" s="112"/>
      <c r="X26" s="112"/>
      <c r="Y26" s="112"/>
      <c r="Z26" s="112"/>
      <c r="AA26" s="112"/>
      <c r="AB26" s="90"/>
      <c r="AC26" s="91"/>
      <c r="AD26" s="125"/>
      <c r="AE26" s="75">
        <f t="shared" ca="1" si="0"/>
        <v>0</v>
      </c>
    </row>
    <row r="27" spans="1:31" ht="16.5" thickBot="1" x14ac:dyDescent="0.3">
      <c r="A27" s="46" t="s">
        <v>11</v>
      </c>
      <c r="B27" s="111"/>
      <c r="C27" s="112"/>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90"/>
      <c r="AC27" s="91"/>
      <c r="AD27" s="125"/>
      <c r="AE27" s="75">
        <f t="shared" ca="1" si="0"/>
        <v>0</v>
      </c>
    </row>
    <row r="28" spans="1:31" ht="16.5" thickBot="1" x14ac:dyDescent="0.3">
      <c r="A28" s="119"/>
      <c r="B28" s="88"/>
      <c r="C28" s="89"/>
      <c r="D28" s="89"/>
      <c r="E28" s="89"/>
      <c r="F28" s="89"/>
      <c r="G28" s="89"/>
      <c r="H28" s="89"/>
      <c r="I28" s="89"/>
      <c r="J28" s="89"/>
      <c r="K28" s="89"/>
      <c r="L28" s="89"/>
      <c r="M28" s="89"/>
      <c r="N28" s="89"/>
      <c r="O28" s="89"/>
      <c r="P28" s="89"/>
      <c r="Q28" s="89"/>
      <c r="R28" s="89"/>
      <c r="S28" s="89"/>
      <c r="T28" s="89"/>
      <c r="U28" s="89"/>
      <c r="V28" s="89"/>
      <c r="W28" s="89"/>
      <c r="X28" s="89"/>
      <c r="Y28" s="89"/>
      <c r="Z28" s="89"/>
      <c r="AA28" s="89"/>
      <c r="AB28" s="113"/>
      <c r="AC28" s="122"/>
      <c r="AD28" s="121"/>
      <c r="AE28" s="75">
        <f t="shared" ca="1" si="0"/>
        <v>0</v>
      </c>
    </row>
    <row r="29" spans="1:31" ht="16.5" thickBot="1" x14ac:dyDescent="0.3">
      <c r="A29" s="76"/>
      <c r="B29" s="77">
        <f ca="1">nbColor(B3:B27)</f>
        <v>0</v>
      </c>
      <c r="C29" s="77">
        <f t="shared" ref="C29:AC29" ca="1" si="1">nbColor(C3:C27)</f>
        <v>0</v>
      </c>
      <c r="D29" s="77">
        <f t="shared" ca="1" si="1"/>
        <v>0</v>
      </c>
      <c r="E29" s="77">
        <f t="shared" ca="1" si="1"/>
        <v>0</v>
      </c>
      <c r="F29" s="77">
        <f t="shared" ca="1" si="1"/>
        <v>0</v>
      </c>
      <c r="G29" s="77">
        <f t="shared" ca="1" si="1"/>
        <v>0</v>
      </c>
      <c r="H29" s="77">
        <f t="shared" ca="1" si="1"/>
        <v>0</v>
      </c>
      <c r="I29" s="77">
        <f t="shared" ca="1" si="1"/>
        <v>0</v>
      </c>
      <c r="J29" s="77">
        <f t="shared" ca="1" si="1"/>
        <v>0</v>
      </c>
      <c r="K29" s="77">
        <f t="shared" ca="1" si="1"/>
        <v>0</v>
      </c>
      <c r="L29" s="77">
        <f t="shared" ca="1" si="1"/>
        <v>0</v>
      </c>
      <c r="M29" s="77">
        <f t="shared" ca="1" si="1"/>
        <v>0</v>
      </c>
      <c r="N29" s="77">
        <f t="shared" ca="1" si="1"/>
        <v>0</v>
      </c>
      <c r="O29" s="77">
        <f t="shared" ca="1" si="1"/>
        <v>0</v>
      </c>
      <c r="P29" s="77">
        <f t="shared" ca="1" si="1"/>
        <v>0</v>
      </c>
      <c r="Q29" s="77">
        <f t="shared" ca="1" si="1"/>
        <v>0</v>
      </c>
      <c r="R29" s="77">
        <f t="shared" ca="1" si="1"/>
        <v>0</v>
      </c>
      <c r="S29" s="77">
        <f t="shared" ca="1" si="1"/>
        <v>0</v>
      </c>
      <c r="T29" s="77">
        <f t="shared" ca="1" si="1"/>
        <v>0</v>
      </c>
      <c r="U29" s="77">
        <f t="shared" ca="1" si="1"/>
        <v>0</v>
      </c>
      <c r="V29" s="77">
        <f t="shared" ca="1" si="1"/>
        <v>0</v>
      </c>
      <c r="W29" s="77">
        <f t="shared" ca="1" si="1"/>
        <v>0</v>
      </c>
      <c r="X29" s="77">
        <f t="shared" ca="1" si="1"/>
        <v>0</v>
      </c>
      <c r="Y29" s="77">
        <f t="shared" ca="1" si="1"/>
        <v>0</v>
      </c>
      <c r="Z29" s="77">
        <f t="shared" ca="1" si="1"/>
        <v>0</v>
      </c>
      <c r="AA29" s="77">
        <f t="shared" ca="1" si="1"/>
        <v>0</v>
      </c>
      <c r="AB29" s="77">
        <f t="shared" ca="1" si="1"/>
        <v>0</v>
      </c>
      <c r="AC29" s="77">
        <f t="shared" ca="1" si="1"/>
        <v>0</v>
      </c>
      <c r="AD29" s="116"/>
      <c r="AE29" s="78">
        <f ca="1">SUM(AE4:AE21)</f>
        <v>0</v>
      </c>
    </row>
    <row r="30" spans="1:31" x14ac:dyDescent="0.25">
      <c r="A30" s="48" t="s">
        <v>79</v>
      </c>
      <c r="B30" s="49" t="s">
        <v>46</v>
      </c>
      <c r="C30" s="50" t="s">
        <v>47</v>
      </c>
      <c r="D30" s="50" t="s">
        <v>48</v>
      </c>
      <c r="E30" s="50" t="s">
        <v>49</v>
      </c>
      <c r="F30" s="50" t="s">
        <v>50</v>
      </c>
      <c r="G30" s="51" t="s">
        <v>51</v>
      </c>
      <c r="H30" s="52" t="s">
        <v>52</v>
      </c>
      <c r="I30" s="53" t="s">
        <v>53</v>
      </c>
      <c r="J30" s="53" t="s">
        <v>54</v>
      </c>
      <c r="K30" s="54" t="s">
        <v>55</v>
      </c>
      <c r="L30" s="55" t="s">
        <v>56</v>
      </c>
      <c r="M30" s="56" t="s">
        <v>57</v>
      </c>
      <c r="N30" s="56" t="s">
        <v>58</v>
      </c>
      <c r="O30" s="57" t="s">
        <v>59</v>
      </c>
      <c r="P30" s="52" t="s">
        <v>60</v>
      </c>
      <c r="Q30" s="53" t="s">
        <v>61</v>
      </c>
      <c r="R30" s="53" t="s">
        <v>62</v>
      </c>
      <c r="S30" s="53" t="s">
        <v>63</v>
      </c>
      <c r="T30" s="53" t="s">
        <v>64</v>
      </c>
      <c r="U30" s="54" t="s">
        <v>65</v>
      </c>
      <c r="V30" s="55" t="s">
        <v>66</v>
      </c>
      <c r="W30" s="56" t="s">
        <v>67</v>
      </c>
      <c r="X30" s="56" t="s">
        <v>68</v>
      </c>
      <c r="Y30" s="56" t="s">
        <v>69</v>
      </c>
      <c r="Z30" s="56" t="s">
        <v>70</v>
      </c>
      <c r="AA30" s="57" t="s">
        <v>71</v>
      </c>
      <c r="AB30" s="58" t="s">
        <v>72</v>
      </c>
      <c r="AC30" s="59" t="s">
        <v>73</v>
      </c>
      <c r="AD30" s="140" t="s">
        <v>74</v>
      </c>
      <c r="AE30" s="60" t="s">
        <v>75</v>
      </c>
    </row>
    <row r="31" spans="1:31" ht="19.5" thickBot="1" x14ac:dyDescent="0.3">
      <c r="A31" s="61"/>
      <c r="B31" s="62" t="s">
        <v>47</v>
      </c>
      <c r="C31" s="63" t="s">
        <v>48</v>
      </c>
      <c r="D31" s="63" t="s">
        <v>49</v>
      </c>
      <c r="E31" s="63" t="s">
        <v>50</v>
      </c>
      <c r="F31" s="63" t="s">
        <v>51</v>
      </c>
      <c r="G31" s="64" t="s">
        <v>52</v>
      </c>
      <c r="H31" s="65" t="s">
        <v>53</v>
      </c>
      <c r="I31" s="66" t="s">
        <v>54</v>
      </c>
      <c r="J31" s="66" t="s">
        <v>55</v>
      </c>
      <c r="K31" s="67" t="s">
        <v>56</v>
      </c>
      <c r="L31" s="68" t="s">
        <v>57</v>
      </c>
      <c r="M31" s="69" t="s">
        <v>58</v>
      </c>
      <c r="N31" s="69" t="s">
        <v>59</v>
      </c>
      <c r="O31" s="70" t="s">
        <v>60</v>
      </c>
      <c r="P31" s="65" t="s">
        <v>61</v>
      </c>
      <c r="Q31" s="66" t="s">
        <v>62</v>
      </c>
      <c r="R31" s="66" t="s">
        <v>63</v>
      </c>
      <c r="S31" s="66" t="s">
        <v>64</v>
      </c>
      <c r="T31" s="66" t="s">
        <v>65</v>
      </c>
      <c r="U31" s="67" t="s">
        <v>66</v>
      </c>
      <c r="V31" s="68" t="s">
        <v>67</v>
      </c>
      <c r="W31" s="69" t="s">
        <v>68</v>
      </c>
      <c r="X31" s="69" t="s">
        <v>69</v>
      </c>
      <c r="Y31" s="69" t="s">
        <v>70</v>
      </c>
      <c r="Z31" s="69" t="s">
        <v>71</v>
      </c>
      <c r="AA31" s="70" t="s">
        <v>72</v>
      </c>
      <c r="AB31" s="71" t="s">
        <v>73</v>
      </c>
      <c r="AC31" s="72" t="s">
        <v>76</v>
      </c>
      <c r="AD31" s="141"/>
      <c r="AE31" s="73" t="s">
        <v>77</v>
      </c>
    </row>
    <row r="32" spans="1:31" x14ac:dyDescent="0.25">
      <c r="A32" s="44" t="s">
        <v>9</v>
      </c>
      <c r="B32" s="79"/>
      <c r="C32" s="80"/>
      <c r="D32" s="80"/>
      <c r="E32" s="80"/>
      <c r="F32" s="80"/>
      <c r="G32" s="80"/>
      <c r="H32" s="80"/>
      <c r="I32" s="80"/>
      <c r="J32" s="80"/>
      <c r="K32" s="80"/>
      <c r="L32" s="80"/>
      <c r="M32" s="80"/>
      <c r="N32" s="80"/>
      <c r="O32" s="80"/>
      <c r="P32" s="80"/>
      <c r="Q32" s="80"/>
      <c r="R32" s="80"/>
      <c r="S32" s="80"/>
      <c r="T32" s="81"/>
      <c r="U32" s="80"/>
      <c r="V32" s="80"/>
      <c r="W32" s="80"/>
      <c r="X32" s="80"/>
      <c r="Y32" s="80"/>
      <c r="Z32" s="80"/>
      <c r="AA32" s="80"/>
      <c r="AB32" s="80"/>
      <c r="AC32" s="82"/>
      <c r="AD32" s="83"/>
      <c r="AE32" s="74">
        <f ca="1">(nbColor(B32:AC32)/2)-AD32</f>
        <v>0</v>
      </c>
    </row>
    <row r="33" spans="1:31" x14ac:dyDescent="0.25">
      <c r="A33" s="22" t="s">
        <v>5</v>
      </c>
      <c r="B33" s="79"/>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4"/>
      <c r="AD33" s="83"/>
      <c r="AE33" s="75">
        <f t="shared" ref="AE33:AE57" ca="1" si="2">(nbColor(B33:AC33)/2)-AD33</f>
        <v>0</v>
      </c>
    </row>
    <row r="34" spans="1:31" x14ac:dyDescent="0.25">
      <c r="A34" s="23" t="s">
        <v>17</v>
      </c>
      <c r="B34" s="79"/>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4"/>
      <c r="AD34" s="83"/>
      <c r="AE34" s="75">
        <f t="shared" ca="1" si="2"/>
        <v>0</v>
      </c>
    </row>
    <row r="35" spans="1:31" x14ac:dyDescent="0.25">
      <c r="A35" s="23" t="s">
        <v>1</v>
      </c>
      <c r="B35" s="79"/>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5"/>
      <c r="AC35" s="84"/>
      <c r="AD35" s="83"/>
      <c r="AE35" s="75">
        <f t="shared" ca="1" si="2"/>
        <v>0</v>
      </c>
    </row>
    <row r="36" spans="1:31" x14ac:dyDescent="0.25">
      <c r="A36" s="24" t="s">
        <v>8</v>
      </c>
      <c r="B36" s="79"/>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5"/>
      <c r="AC36" s="84"/>
      <c r="AD36" s="83"/>
      <c r="AE36" s="75">
        <f t="shared" ca="1" si="2"/>
        <v>0</v>
      </c>
    </row>
    <row r="37" spans="1:31" x14ac:dyDescent="0.25">
      <c r="A37" s="24" t="s">
        <v>7</v>
      </c>
      <c r="B37" s="79"/>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5"/>
      <c r="AC37" s="84"/>
      <c r="AD37" s="83"/>
      <c r="AE37" s="75">
        <f t="shared" ca="1" si="2"/>
        <v>0</v>
      </c>
    </row>
    <row r="38" spans="1:31" x14ac:dyDescent="0.25">
      <c r="A38" s="25" t="s">
        <v>16</v>
      </c>
      <c r="B38" s="79"/>
      <c r="C38" s="81"/>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2"/>
      <c r="AD38" s="83"/>
      <c r="AE38" s="75">
        <f t="shared" ca="1" si="2"/>
        <v>0</v>
      </c>
    </row>
    <row r="39" spans="1:31" x14ac:dyDescent="0.25">
      <c r="A39" s="25" t="s">
        <v>0</v>
      </c>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2"/>
      <c r="AD39" s="83"/>
      <c r="AE39" s="75">
        <f t="shared" ca="1" si="2"/>
        <v>0</v>
      </c>
    </row>
    <row r="40" spans="1:31" x14ac:dyDescent="0.25">
      <c r="A40" s="26" t="s">
        <v>18</v>
      </c>
      <c r="B40" s="86"/>
      <c r="C40" s="80"/>
      <c r="D40" s="80"/>
      <c r="E40" s="80"/>
      <c r="F40" s="80"/>
      <c r="G40" s="87"/>
      <c r="H40" s="80"/>
      <c r="I40" s="80"/>
      <c r="J40" s="80"/>
      <c r="K40" s="80"/>
      <c r="L40" s="80"/>
      <c r="M40" s="80"/>
      <c r="N40" s="80"/>
      <c r="O40" s="80"/>
      <c r="P40" s="80"/>
      <c r="Q40" s="80"/>
      <c r="R40" s="80"/>
      <c r="S40" s="80"/>
      <c r="T40" s="80"/>
      <c r="U40" s="80"/>
      <c r="V40" s="80"/>
      <c r="W40" s="80"/>
      <c r="X40" s="80"/>
      <c r="Y40" s="80"/>
      <c r="Z40" s="80"/>
      <c r="AA40" s="80"/>
      <c r="AB40" s="80"/>
      <c r="AC40" s="82"/>
      <c r="AD40" s="83"/>
      <c r="AE40" s="75">
        <f t="shared" ca="1" si="2"/>
        <v>0</v>
      </c>
    </row>
    <row r="41" spans="1:31" x14ac:dyDescent="0.25">
      <c r="A41" s="26" t="s">
        <v>2</v>
      </c>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5"/>
      <c r="AC41" s="84"/>
      <c r="AD41" s="83"/>
      <c r="AE41" s="75">
        <f t="shared" ca="1" si="2"/>
        <v>0</v>
      </c>
    </row>
    <row r="42" spans="1:31" x14ac:dyDescent="0.25">
      <c r="A42" s="27" t="s">
        <v>15</v>
      </c>
      <c r="B42" s="86"/>
      <c r="C42" s="80"/>
      <c r="D42" s="80"/>
      <c r="E42" s="80"/>
      <c r="F42" s="80"/>
      <c r="G42" s="87"/>
      <c r="H42" s="80"/>
      <c r="I42" s="80"/>
      <c r="J42" s="80"/>
      <c r="K42" s="80"/>
      <c r="L42" s="80"/>
      <c r="M42" s="80"/>
      <c r="N42" s="80"/>
      <c r="O42" s="80"/>
      <c r="P42" s="80"/>
      <c r="Q42" s="80"/>
      <c r="R42" s="80"/>
      <c r="S42" s="80"/>
      <c r="T42" s="80"/>
      <c r="U42" s="80"/>
      <c r="V42" s="80"/>
      <c r="W42" s="80"/>
      <c r="X42" s="80"/>
      <c r="Y42" s="80"/>
      <c r="Z42" s="80"/>
      <c r="AA42" s="80"/>
      <c r="AB42" s="80"/>
      <c r="AC42" s="84"/>
      <c r="AD42" s="83"/>
      <c r="AE42" s="75">
        <f t="shared" ca="1" si="2"/>
        <v>0</v>
      </c>
    </row>
    <row r="43" spans="1:31" x14ac:dyDescent="0.25">
      <c r="A43" s="27" t="s">
        <v>38</v>
      </c>
      <c r="B43" s="79"/>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4"/>
      <c r="AD43" s="83"/>
      <c r="AE43" s="75">
        <f t="shared" ca="1" si="2"/>
        <v>0</v>
      </c>
    </row>
    <row r="44" spans="1:31" x14ac:dyDescent="0.25">
      <c r="A44" s="27" t="s">
        <v>3</v>
      </c>
      <c r="B44" s="79"/>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4"/>
      <c r="AD44" s="83"/>
      <c r="AE44" s="75">
        <f t="shared" ca="1" si="2"/>
        <v>0</v>
      </c>
    </row>
    <row r="45" spans="1:31" x14ac:dyDescent="0.25">
      <c r="A45" s="27" t="s">
        <v>6</v>
      </c>
      <c r="B45" s="79"/>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5"/>
      <c r="AC45" s="84"/>
      <c r="AD45" s="83"/>
      <c r="AE45" s="75">
        <f t="shared" ca="1" si="2"/>
        <v>0</v>
      </c>
    </row>
    <row r="46" spans="1:31" x14ac:dyDescent="0.25">
      <c r="A46" s="27" t="s">
        <v>39</v>
      </c>
      <c r="B46" s="79"/>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4"/>
      <c r="AD46" s="83"/>
      <c r="AE46" s="75">
        <f t="shared" ca="1" si="2"/>
        <v>0</v>
      </c>
    </row>
    <row r="47" spans="1:31" x14ac:dyDescent="0.25">
      <c r="A47" s="27" t="s">
        <v>12</v>
      </c>
      <c r="B47" s="79"/>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4"/>
      <c r="AD47" s="83"/>
      <c r="AE47" s="75">
        <f t="shared" ca="1" si="2"/>
        <v>0</v>
      </c>
    </row>
    <row r="48" spans="1:31" x14ac:dyDescent="0.25">
      <c r="A48" s="27" t="s">
        <v>14</v>
      </c>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4"/>
      <c r="AD48" s="83"/>
      <c r="AE48" s="75">
        <f t="shared" ca="1" si="2"/>
        <v>0</v>
      </c>
    </row>
    <row r="49" spans="1:31" x14ac:dyDescent="0.25">
      <c r="A49" s="28" t="s">
        <v>4</v>
      </c>
      <c r="B49" s="118"/>
      <c r="C49" s="118"/>
      <c r="D49" s="118"/>
      <c r="E49" s="118"/>
      <c r="F49" s="118"/>
      <c r="G49" s="118"/>
      <c r="H49" s="118"/>
      <c r="I49" s="118"/>
      <c r="J49" s="118"/>
      <c r="K49" s="118"/>
      <c r="L49" s="118"/>
      <c r="M49" s="118"/>
      <c r="N49" s="118"/>
      <c r="O49" s="118"/>
      <c r="P49" s="118"/>
      <c r="Q49" s="118"/>
      <c r="R49" s="118"/>
      <c r="S49" s="118"/>
      <c r="T49" s="118"/>
      <c r="U49" s="118"/>
      <c r="V49" s="118"/>
      <c r="W49" s="118"/>
      <c r="X49" s="118"/>
      <c r="Y49" s="118"/>
      <c r="Z49" s="118"/>
      <c r="AA49" s="118"/>
      <c r="AB49" s="85"/>
      <c r="AC49" s="84"/>
      <c r="AD49" s="83"/>
      <c r="AE49" s="75">
        <f t="shared" ca="1" si="2"/>
        <v>0</v>
      </c>
    </row>
    <row r="50" spans="1:31" x14ac:dyDescent="0.25">
      <c r="A50" s="27" t="s">
        <v>40</v>
      </c>
      <c r="B50" s="115"/>
      <c r="C50" s="118"/>
      <c r="D50" s="118"/>
      <c r="E50" s="118"/>
      <c r="F50" s="118"/>
      <c r="G50" s="118"/>
      <c r="H50" s="118"/>
      <c r="I50" s="118"/>
      <c r="J50" s="118"/>
      <c r="K50" s="118"/>
      <c r="L50" s="118"/>
      <c r="M50" s="118"/>
      <c r="N50" s="118"/>
      <c r="O50" s="118"/>
      <c r="P50" s="118"/>
      <c r="Q50" s="118"/>
      <c r="R50" s="118"/>
      <c r="S50" s="118"/>
      <c r="T50" s="118"/>
      <c r="U50" s="118"/>
      <c r="V50" s="118"/>
      <c r="W50" s="118"/>
      <c r="X50" s="118"/>
      <c r="Y50" s="118"/>
      <c r="Z50" s="118"/>
      <c r="AA50" s="118"/>
      <c r="AB50" s="85"/>
      <c r="AC50" s="84"/>
      <c r="AD50" s="124"/>
      <c r="AE50" s="75">
        <f t="shared" ca="1" si="2"/>
        <v>0</v>
      </c>
    </row>
    <row r="51" spans="1:31" x14ac:dyDescent="0.25">
      <c r="A51" s="27" t="s">
        <v>41</v>
      </c>
      <c r="B51" s="117"/>
      <c r="C51" s="118"/>
      <c r="D51" s="118"/>
      <c r="E51" s="118"/>
      <c r="F51" s="118"/>
      <c r="G51" s="118"/>
      <c r="H51" s="118"/>
      <c r="I51" s="118"/>
      <c r="J51" s="118"/>
      <c r="K51" s="118"/>
      <c r="L51" s="118"/>
      <c r="M51" s="118"/>
      <c r="N51" s="118"/>
      <c r="O51" s="118"/>
      <c r="P51" s="118"/>
      <c r="Q51" s="118"/>
      <c r="R51" s="118"/>
      <c r="S51" s="118"/>
      <c r="T51" s="118"/>
      <c r="U51" s="118"/>
      <c r="V51" s="118"/>
      <c r="W51" s="118"/>
      <c r="X51" s="118"/>
      <c r="Y51" s="118"/>
      <c r="Z51" s="118"/>
      <c r="AA51" s="118"/>
      <c r="AB51" s="114"/>
      <c r="AC51" s="84"/>
      <c r="AD51" s="123"/>
      <c r="AE51" s="75">
        <f t="shared" ca="1" si="2"/>
        <v>0</v>
      </c>
    </row>
    <row r="52" spans="1:31" x14ac:dyDescent="0.25">
      <c r="A52" s="27" t="s">
        <v>42</v>
      </c>
      <c r="B52" s="79"/>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5"/>
      <c r="AC52" s="84"/>
      <c r="AD52" s="120"/>
      <c r="AE52" s="75">
        <f t="shared" ca="1" si="2"/>
        <v>0</v>
      </c>
    </row>
    <row r="53" spans="1:31" x14ac:dyDescent="0.25">
      <c r="A53" s="45" t="s">
        <v>19</v>
      </c>
      <c r="B53" s="79"/>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5"/>
      <c r="AC53" s="84"/>
      <c r="AD53" s="120"/>
      <c r="AE53" s="75">
        <f t="shared" ca="1" si="2"/>
        <v>0</v>
      </c>
    </row>
    <row r="54" spans="1:31" x14ac:dyDescent="0.25">
      <c r="A54" s="45" t="s">
        <v>10</v>
      </c>
      <c r="B54" s="111"/>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90"/>
      <c r="AC54" s="91"/>
      <c r="AD54" s="120"/>
      <c r="AE54" s="75">
        <f t="shared" ca="1" si="2"/>
        <v>0</v>
      </c>
    </row>
    <row r="55" spans="1:31" x14ac:dyDescent="0.25">
      <c r="A55" s="45" t="s">
        <v>13</v>
      </c>
      <c r="B55" s="111"/>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90"/>
      <c r="AC55" s="91"/>
      <c r="AD55" s="125"/>
      <c r="AE55" s="75">
        <f t="shared" ca="1" si="2"/>
        <v>0</v>
      </c>
    </row>
    <row r="56" spans="1:31" ht="16.5" thickBot="1" x14ac:dyDescent="0.3">
      <c r="A56" s="46" t="s">
        <v>11</v>
      </c>
      <c r="B56" s="111"/>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90"/>
      <c r="AC56" s="91"/>
      <c r="AD56" s="125"/>
      <c r="AE56" s="75">
        <f t="shared" ca="1" si="2"/>
        <v>0</v>
      </c>
    </row>
    <row r="57" spans="1:31" ht="16.5" thickBot="1" x14ac:dyDescent="0.3">
      <c r="A57" s="119"/>
      <c r="B57" s="88"/>
      <c r="C57" s="89"/>
      <c r="D57" s="89"/>
      <c r="E57" s="89"/>
      <c r="F57" s="89"/>
      <c r="G57" s="89"/>
      <c r="H57" s="89"/>
      <c r="I57" s="89"/>
      <c r="J57" s="89"/>
      <c r="K57" s="89"/>
      <c r="L57" s="89"/>
      <c r="M57" s="89"/>
      <c r="N57" s="89"/>
      <c r="O57" s="89"/>
      <c r="P57" s="89"/>
      <c r="Q57" s="89"/>
      <c r="R57" s="89"/>
      <c r="S57" s="89"/>
      <c r="T57" s="89"/>
      <c r="U57" s="89"/>
      <c r="V57" s="89"/>
      <c r="W57" s="89"/>
      <c r="X57" s="89"/>
      <c r="Y57" s="89"/>
      <c r="Z57" s="89"/>
      <c r="AA57" s="89"/>
      <c r="AB57" s="113"/>
      <c r="AC57" s="122"/>
      <c r="AD57" s="121"/>
      <c r="AE57" s="75">
        <f t="shared" ca="1" si="2"/>
        <v>0</v>
      </c>
    </row>
    <row r="58" spans="1:31" ht="16.5" thickBot="1" x14ac:dyDescent="0.3">
      <c r="A58" s="76"/>
      <c r="B58" s="77">
        <f ca="1">nbColor(B32:B56)</f>
        <v>0</v>
      </c>
      <c r="C58" s="77">
        <f t="shared" ref="C58:AC58" ca="1" si="3">nbColor(C32:C56)</f>
        <v>0</v>
      </c>
      <c r="D58" s="77">
        <f t="shared" ca="1" si="3"/>
        <v>0</v>
      </c>
      <c r="E58" s="77">
        <f t="shared" ca="1" si="3"/>
        <v>0</v>
      </c>
      <c r="F58" s="77">
        <f t="shared" ca="1" si="3"/>
        <v>0</v>
      </c>
      <c r="G58" s="77">
        <f t="shared" ca="1" si="3"/>
        <v>0</v>
      </c>
      <c r="H58" s="77">
        <f t="shared" ca="1" si="3"/>
        <v>0</v>
      </c>
      <c r="I58" s="77">
        <f t="shared" ca="1" si="3"/>
        <v>0</v>
      </c>
      <c r="J58" s="77">
        <f t="shared" ca="1" si="3"/>
        <v>0</v>
      </c>
      <c r="K58" s="77">
        <f t="shared" ca="1" si="3"/>
        <v>0</v>
      </c>
      <c r="L58" s="77">
        <f t="shared" ca="1" si="3"/>
        <v>0</v>
      </c>
      <c r="M58" s="77">
        <f t="shared" ca="1" si="3"/>
        <v>0</v>
      </c>
      <c r="N58" s="77">
        <f t="shared" ca="1" si="3"/>
        <v>0</v>
      </c>
      <c r="O58" s="77">
        <f t="shared" ca="1" si="3"/>
        <v>0</v>
      </c>
      <c r="P58" s="77">
        <f t="shared" ca="1" si="3"/>
        <v>0</v>
      </c>
      <c r="Q58" s="77">
        <f t="shared" ca="1" si="3"/>
        <v>0</v>
      </c>
      <c r="R58" s="77">
        <f t="shared" ca="1" si="3"/>
        <v>0</v>
      </c>
      <c r="S58" s="77">
        <f t="shared" ca="1" si="3"/>
        <v>0</v>
      </c>
      <c r="T58" s="77">
        <f t="shared" ca="1" si="3"/>
        <v>0</v>
      </c>
      <c r="U58" s="77">
        <f t="shared" ca="1" si="3"/>
        <v>0</v>
      </c>
      <c r="V58" s="77">
        <f t="shared" ca="1" si="3"/>
        <v>0</v>
      </c>
      <c r="W58" s="77">
        <f t="shared" ca="1" si="3"/>
        <v>0</v>
      </c>
      <c r="X58" s="77">
        <f t="shared" ca="1" si="3"/>
        <v>0</v>
      </c>
      <c r="Y58" s="77">
        <f t="shared" ca="1" si="3"/>
        <v>0</v>
      </c>
      <c r="Z58" s="77">
        <f t="shared" ca="1" si="3"/>
        <v>0</v>
      </c>
      <c r="AA58" s="77">
        <f t="shared" ca="1" si="3"/>
        <v>0</v>
      </c>
      <c r="AB58" s="77">
        <f t="shared" ca="1" si="3"/>
        <v>0</v>
      </c>
      <c r="AC58" s="77">
        <f t="shared" ca="1" si="3"/>
        <v>0</v>
      </c>
      <c r="AD58" s="116"/>
      <c r="AE58" s="78">
        <f ca="1">SUM(AE33:AE50)</f>
        <v>0</v>
      </c>
    </row>
    <row r="59" spans="1:31" x14ac:dyDescent="0.25">
      <c r="A59" s="48" t="s">
        <v>81</v>
      </c>
      <c r="B59" s="49" t="s">
        <v>46</v>
      </c>
      <c r="C59" s="50" t="s">
        <v>47</v>
      </c>
      <c r="D59" s="50" t="s">
        <v>48</v>
      </c>
      <c r="E59" s="50" t="s">
        <v>49</v>
      </c>
      <c r="F59" s="50" t="s">
        <v>50</v>
      </c>
      <c r="G59" s="51" t="s">
        <v>51</v>
      </c>
      <c r="H59" s="52" t="s">
        <v>52</v>
      </c>
      <c r="I59" s="53" t="s">
        <v>53</v>
      </c>
      <c r="J59" s="53" t="s">
        <v>54</v>
      </c>
      <c r="K59" s="54" t="s">
        <v>55</v>
      </c>
      <c r="L59" s="55" t="s">
        <v>56</v>
      </c>
      <c r="M59" s="56" t="s">
        <v>57</v>
      </c>
      <c r="N59" s="56" t="s">
        <v>58</v>
      </c>
      <c r="O59" s="57" t="s">
        <v>59</v>
      </c>
      <c r="P59" s="52" t="s">
        <v>60</v>
      </c>
      <c r="Q59" s="53" t="s">
        <v>61</v>
      </c>
      <c r="R59" s="53" t="s">
        <v>62</v>
      </c>
      <c r="S59" s="53" t="s">
        <v>63</v>
      </c>
      <c r="T59" s="53" t="s">
        <v>64</v>
      </c>
      <c r="U59" s="54" t="s">
        <v>65</v>
      </c>
      <c r="V59" s="55" t="s">
        <v>66</v>
      </c>
      <c r="W59" s="56" t="s">
        <v>67</v>
      </c>
      <c r="X59" s="56" t="s">
        <v>68</v>
      </c>
      <c r="Y59" s="56" t="s">
        <v>69</v>
      </c>
      <c r="Z59" s="56" t="s">
        <v>70</v>
      </c>
      <c r="AA59" s="57" t="s">
        <v>71</v>
      </c>
      <c r="AB59" s="58" t="s">
        <v>72</v>
      </c>
      <c r="AC59" s="59" t="s">
        <v>73</v>
      </c>
      <c r="AD59" s="140" t="s">
        <v>74</v>
      </c>
      <c r="AE59" s="60" t="s">
        <v>75</v>
      </c>
    </row>
    <row r="60" spans="1:31" ht="19.5" thickBot="1" x14ac:dyDescent="0.3">
      <c r="A60" s="61"/>
      <c r="B60" s="62" t="s">
        <v>47</v>
      </c>
      <c r="C60" s="63" t="s">
        <v>48</v>
      </c>
      <c r="D60" s="63" t="s">
        <v>49</v>
      </c>
      <c r="E60" s="63" t="s">
        <v>50</v>
      </c>
      <c r="F60" s="63" t="s">
        <v>51</v>
      </c>
      <c r="G60" s="64" t="s">
        <v>52</v>
      </c>
      <c r="H60" s="65" t="s">
        <v>53</v>
      </c>
      <c r="I60" s="66" t="s">
        <v>54</v>
      </c>
      <c r="J60" s="66" t="s">
        <v>55</v>
      </c>
      <c r="K60" s="67" t="s">
        <v>56</v>
      </c>
      <c r="L60" s="68" t="s">
        <v>57</v>
      </c>
      <c r="M60" s="69" t="s">
        <v>58</v>
      </c>
      <c r="N60" s="69" t="s">
        <v>59</v>
      </c>
      <c r="O60" s="70" t="s">
        <v>60</v>
      </c>
      <c r="P60" s="65" t="s">
        <v>61</v>
      </c>
      <c r="Q60" s="66" t="s">
        <v>62</v>
      </c>
      <c r="R60" s="66" t="s">
        <v>63</v>
      </c>
      <c r="S60" s="66" t="s">
        <v>64</v>
      </c>
      <c r="T60" s="66" t="s">
        <v>65</v>
      </c>
      <c r="U60" s="67" t="s">
        <v>66</v>
      </c>
      <c r="V60" s="68" t="s">
        <v>67</v>
      </c>
      <c r="W60" s="69" t="s">
        <v>68</v>
      </c>
      <c r="X60" s="69" t="s">
        <v>69</v>
      </c>
      <c r="Y60" s="69" t="s">
        <v>70</v>
      </c>
      <c r="Z60" s="69" t="s">
        <v>71</v>
      </c>
      <c r="AA60" s="70" t="s">
        <v>72</v>
      </c>
      <c r="AB60" s="71" t="s">
        <v>73</v>
      </c>
      <c r="AC60" s="72" t="s">
        <v>76</v>
      </c>
      <c r="AD60" s="141"/>
      <c r="AE60" s="73" t="s">
        <v>77</v>
      </c>
    </row>
    <row r="61" spans="1:31" x14ac:dyDescent="0.25">
      <c r="A61" s="44" t="s">
        <v>9</v>
      </c>
      <c r="B61" s="79"/>
      <c r="C61" s="80"/>
      <c r="D61" s="80"/>
      <c r="E61" s="80"/>
      <c r="F61" s="80"/>
      <c r="G61" s="80"/>
      <c r="H61" s="80"/>
      <c r="I61" s="80"/>
      <c r="J61" s="80"/>
      <c r="K61" s="80"/>
      <c r="L61" s="80"/>
      <c r="M61" s="80"/>
      <c r="N61" s="80"/>
      <c r="O61" s="80"/>
      <c r="P61" s="80"/>
      <c r="Q61" s="80"/>
      <c r="R61" s="80"/>
      <c r="S61" s="80"/>
      <c r="T61" s="81"/>
      <c r="U61" s="80"/>
      <c r="V61" s="80"/>
      <c r="W61" s="80"/>
      <c r="X61" s="80"/>
      <c r="Y61" s="80"/>
      <c r="Z61" s="80"/>
      <c r="AA61" s="80"/>
      <c r="AB61" s="80"/>
      <c r="AC61" s="82"/>
      <c r="AD61" s="83"/>
      <c r="AE61" s="74">
        <f ca="1">(nbColor(B61:AC61)/2)-AD61</f>
        <v>0</v>
      </c>
    </row>
    <row r="62" spans="1:31" x14ac:dyDescent="0.25">
      <c r="A62" s="22" t="s">
        <v>5</v>
      </c>
      <c r="B62" s="79"/>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4"/>
      <c r="AD62" s="83"/>
      <c r="AE62" s="75">
        <f t="shared" ref="AE62:AE86" ca="1" si="4">(nbColor(B62:AC62)/2)-AD62</f>
        <v>0</v>
      </c>
    </row>
    <row r="63" spans="1:31" x14ac:dyDescent="0.25">
      <c r="A63" s="23" t="s">
        <v>17</v>
      </c>
      <c r="B63" s="79"/>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4"/>
      <c r="AD63" s="83"/>
      <c r="AE63" s="75">
        <f t="shared" ca="1" si="4"/>
        <v>0</v>
      </c>
    </row>
    <row r="64" spans="1:31" x14ac:dyDescent="0.25">
      <c r="A64" s="23" t="s">
        <v>1</v>
      </c>
      <c r="B64" s="79"/>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5"/>
      <c r="AC64" s="84"/>
      <c r="AD64" s="83"/>
      <c r="AE64" s="75">
        <f t="shared" ca="1" si="4"/>
        <v>0</v>
      </c>
    </row>
    <row r="65" spans="1:31" x14ac:dyDescent="0.25">
      <c r="A65" s="24" t="s">
        <v>8</v>
      </c>
      <c r="B65" s="79"/>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5"/>
      <c r="AC65" s="84"/>
      <c r="AD65" s="83"/>
      <c r="AE65" s="75">
        <f t="shared" ca="1" si="4"/>
        <v>0</v>
      </c>
    </row>
    <row r="66" spans="1:31" x14ac:dyDescent="0.25">
      <c r="A66" s="24" t="s">
        <v>7</v>
      </c>
      <c r="B66" s="79"/>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5"/>
      <c r="AC66" s="84"/>
      <c r="AD66" s="83"/>
      <c r="AE66" s="75">
        <f t="shared" ca="1" si="4"/>
        <v>0</v>
      </c>
    </row>
    <row r="67" spans="1:31" x14ac:dyDescent="0.25">
      <c r="A67" s="25" t="s">
        <v>16</v>
      </c>
      <c r="B67" s="79"/>
      <c r="C67" s="81"/>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2"/>
      <c r="AD67" s="83"/>
      <c r="AE67" s="75">
        <f t="shared" ca="1" si="4"/>
        <v>0</v>
      </c>
    </row>
    <row r="68" spans="1:31" x14ac:dyDescent="0.25">
      <c r="A68" s="25" t="s">
        <v>0</v>
      </c>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2"/>
      <c r="AD68" s="83"/>
      <c r="AE68" s="75">
        <f t="shared" ca="1" si="4"/>
        <v>0</v>
      </c>
    </row>
    <row r="69" spans="1:31" x14ac:dyDescent="0.25">
      <c r="A69" s="26" t="s">
        <v>18</v>
      </c>
      <c r="B69" s="86"/>
      <c r="C69" s="80"/>
      <c r="D69" s="80"/>
      <c r="E69" s="80"/>
      <c r="F69" s="80"/>
      <c r="G69" s="87"/>
      <c r="H69" s="80"/>
      <c r="I69" s="80"/>
      <c r="J69" s="80"/>
      <c r="K69" s="80"/>
      <c r="L69" s="80"/>
      <c r="M69" s="80"/>
      <c r="N69" s="80"/>
      <c r="O69" s="80"/>
      <c r="P69" s="80"/>
      <c r="Q69" s="80"/>
      <c r="R69" s="80"/>
      <c r="S69" s="80"/>
      <c r="T69" s="80"/>
      <c r="U69" s="80"/>
      <c r="V69" s="80"/>
      <c r="W69" s="80"/>
      <c r="X69" s="80"/>
      <c r="Y69" s="80"/>
      <c r="Z69" s="80"/>
      <c r="AA69" s="80"/>
      <c r="AB69" s="80"/>
      <c r="AC69" s="82"/>
      <c r="AD69" s="83"/>
      <c r="AE69" s="75">
        <f t="shared" ca="1" si="4"/>
        <v>0</v>
      </c>
    </row>
    <row r="70" spans="1:31" x14ac:dyDescent="0.25">
      <c r="A70" s="26" t="s">
        <v>2</v>
      </c>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5"/>
      <c r="AC70" s="84"/>
      <c r="AD70" s="83"/>
      <c r="AE70" s="75">
        <f t="shared" ca="1" si="4"/>
        <v>0</v>
      </c>
    </row>
    <row r="71" spans="1:31" x14ac:dyDescent="0.25">
      <c r="A71" s="27" t="s">
        <v>15</v>
      </c>
      <c r="B71" s="86"/>
      <c r="C71" s="80"/>
      <c r="D71" s="80"/>
      <c r="E71" s="80"/>
      <c r="F71" s="80"/>
      <c r="G71" s="87"/>
      <c r="H71" s="80"/>
      <c r="I71" s="80"/>
      <c r="J71" s="80"/>
      <c r="K71" s="80"/>
      <c r="L71" s="80"/>
      <c r="M71" s="80"/>
      <c r="N71" s="80"/>
      <c r="O71" s="80"/>
      <c r="P71" s="80"/>
      <c r="Q71" s="80"/>
      <c r="R71" s="80"/>
      <c r="S71" s="80"/>
      <c r="T71" s="80"/>
      <c r="U71" s="80"/>
      <c r="V71" s="80"/>
      <c r="W71" s="80"/>
      <c r="X71" s="80"/>
      <c r="Y71" s="80"/>
      <c r="Z71" s="80"/>
      <c r="AA71" s="80"/>
      <c r="AB71" s="80"/>
      <c r="AC71" s="84"/>
      <c r="AD71" s="83"/>
      <c r="AE71" s="75">
        <f t="shared" ca="1" si="4"/>
        <v>0</v>
      </c>
    </row>
    <row r="72" spans="1:31" x14ac:dyDescent="0.25">
      <c r="A72" s="27" t="s">
        <v>38</v>
      </c>
      <c r="B72" s="79"/>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4"/>
      <c r="AD72" s="83"/>
      <c r="AE72" s="75">
        <f t="shared" ca="1" si="4"/>
        <v>0</v>
      </c>
    </row>
    <row r="73" spans="1:31" x14ac:dyDescent="0.25">
      <c r="A73" s="27" t="s">
        <v>3</v>
      </c>
      <c r="B73" s="79"/>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4"/>
      <c r="AD73" s="83"/>
      <c r="AE73" s="75">
        <f t="shared" ca="1" si="4"/>
        <v>0</v>
      </c>
    </row>
    <row r="74" spans="1:31" x14ac:dyDescent="0.25">
      <c r="A74" s="27" t="s">
        <v>6</v>
      </c>
      <c r="B74" s="79"/>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5"/>
      <c r="AC74" s="84"/>
      <c r="AD74" s="83"/>
      <c r="AE74" s="75">
        <f t="shared" ca="1" si="4"/>
        <v>0</v>
      </c>
    </row>
    <row r="75" spans="1:31" x14ac:dyDescent="0.25">
      <c r="A75" s="27" t="s">
        <v>39</v>
      </c>
      <c r="B75" s="79"/>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4"/>
      <c r="AD75" s="83"/>
      <c r="AE75" s="75">
        <f t="shared" ca="1" si="4"/>
        <v>0</v>
      </c>
    </row>
    <row r="76" spans="1:31" x14ac:dyDescent="0.25">
      <c r="A76" s="27" t="s">
        <v>12</v>
      </c>
      <c r="B76" s="79"/>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4"/>
      <c r="AD76" s="83"/>
      <c r="AE76" s="75">
        <f t="shared" ca="1" si="4"/>
        <v>0</v>
      </c>
    </row>
    <row r="77" spans="1:31" x14ac:dyDescent="0.25">
      <c r="A77" s="27" t="s">
        <v>14</v>
      </c>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4"/>
      <c r="AD77" s="83"/>
      <c r="AE77" s="75">
        <f t="shared" ca="1" si="4"/>
        <v>0</v>
      </c>
    </row>
    <row r="78" spans="1:31" x14ac:dyDescent="0.25">
      <c r="A78" s="28" t="s">
        <v>4</v>
      </c>
      <c r="B78" s="118"/>
      <c r="C78" s="118"/>
      <c r="D78" s="118"/>
      <c r="E78" s="118"/>
      <c r="F78" s="118"/>
      <c r="G78" s="118"/>
      <c r="H78" s="118"/>
      <c r="I78" s="118"/>
      <c r="J78" s="118"/>
      <c r="K78" s="118"/>
      <c r="L78" s="118"/>
      <c r="M78" s="118"/>
      <c r="N78" s="118"/>
      <c r="O78" s="118"/>
      <c r="P78" s="118"/>
      <c r="Q78" s="118"/>
      <c r="R78" s="118"/>
      <c r="S78" s="118"/>
      <c r="T78" s="118"/>
      <c r="U78" s="118"/>
      <c r="V78" s="118"/>
      <c r="W78" s="118"/>
      <c r="X78" s="118"/>
      <c r="Y78" s="118"/>
      <c r="Z78" s="118"/>
      <c r="AA78" s="118"/>
      <c r="AB78" s="85"/>
      <c r="AC78" s="84"/>
      <c r="AD78" s="83"/>
      <c r="AE78" s="75">
        <f t="shared" ca="1" si="4"/>
        <v>0</v>
      </c>
    </row>
    <row r="79" spans="1:31" x14ac:dyDescent="0.25">
      <c r="A79" s="27" t="s">
        <v>40</v>
      </c>
      <c r="B79" s="115"/>
      <c r="C79" s="118"/>
      <c r="D79" s="118"/>
      <c r="E79" s="118"/>
      <c r="F79" s="118"/>
      <c r="G79" s="118"/>
      <c r="H79" s="118"/>
      <c r="I79" s="118"/>
      <c r="J79" s="118"/>
      <c r="K79" s="118"/>
      <c r="L79" s="118"/>
      <c r="M79" s="118"/>
      <c r="N79" s="118"/>
      <c r="O79" s="118"/>
      <c r="P79" s="118"/>
      <c r="Q79" s="118"/>
      <c r="R79" s="118"/>
      <c r="S79" s="118"/>
      <c r="T79" s="118"/>
      <c r="U79" s="118"/>
      <c r="V79" s="118"/>
      <c r="W79" s="118"/>
      <c r="X79" s="118"/>
      <c r="Y79" s="118"/>
      <c r="Z79" s="118"/>
      <c r="AA79" s="118"/>
      <c r="AB79" s="85"/>
      <c r="AC79" s="84"/>
      <c r="AD79" s="124"/>
      <c r="AE79" s="75">
        <f t="shared" ca="1" si="4"/>
        <v>0</v>
      </c>
    </row>
    <row r="80" spans="1:31" x14ac:dyDescent="0.25">
      <c r="A80" s="27" t="s">
        <v>41</v>
      </c>
      <c r="B80" s="117"/>
      <c r="C80" s="118"/>
      <c r="D80" s="118"/>
      <c r="E80" s="118"/>
      <c r="F80" s="118"/>
      <c r="G80" s="118"/>
      <c r="H80" s="118"/>
      <c r="I80" s="118"/>
      <c r="J80" s="118"/>
      <c r="K80" s="118"/>
      <c r="L80" s="118"/>
      <c r="M80" s="118"/>
      <c r="N80" s="118"/>
      <c r="O80" s="118"/>
      <c r="P80" s="118"/>
      <c r="Q80" s="118"/>
      <c r="R80" s="118"/>
      <c r="S80" s="118"/>
      <c r="T80" s="118"/>
      <c r="U80" s="118"/>
      <c r="V80" s="118"/>
      <c r="W80" s="118"/>
      <c r="X80" s="118"/>
      <c r="Y80" s="118"/>
      <c r="Z80" s="118"/>
      <c r="AA80" s="118"/>
      <c r="AB80" s="114"/>
      <c r="AC80" s="84"/>
      <c r="AD80" s="123"/>
      <c r="AE80" s="75">
        <f t="shared" ca="1" si="4"/>
        <v>0</v>
      </c>
    </row>
    <row r="81" spans="1:31" x14ac:dyDescent="0.25">
      <c r="A81" s="27" t="s">
        <v>42</v>
      </c>
      <c r="B81" s="79"/>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5"/>
      <c r="AC81" s="84"/>
      <c r="AD81" s="120"/>
      <c r="AE81" s="75">
        <f t="shared" ca="1" si="4"/>
        <v>0</v>
      </c>
    </row>
    <row r="82" spans="1:31" x14ac:dyDescent="0.25">
      <c r="A82" s="45" t="s">
        <v>19</v>
      </c>
      <c r="B82" s="79"/>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5"/>
      <c r="AC82" s="84"/>
      <c r="AD82" s="120"/>
      <c r="AE82" s="75">
        <f t="shared" ca="1" si="4"/>
        <v>0</v>
      </c>
    </row>
    <row r="83" spans="1:31" x14ac:dyDescent="0.25">
      <c r="A83" s="45" t="s">
        <v>10</v>
      </c>
      <c r="B83" s="111"/>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90"/>
      <c r="AC83" s="91"/>
      <c r="AD83" s="120"/>
      <c r="AE83" s="75">
        <f t="shared" ca="1" si="4"/>
        <v>0</v>
      </c>
    </row>
    <row r="84" spans="1:31" x14ac:dyDescent="0.25">
      <c r="A84" s="45" t="s">
        <v>13</v>
      </c>
      <c r="B84" s="111"/>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90"/>
      <c r="AC84" s="91"/>
      <c r="AD84" s="125"/>
      <c r="AE84" s="75">
        <f t="shared" ca="1" si="4"/>
        <v>0</v>
      </c>
    </row>
    <row r="85" spans="1:31" ht="16.5" thickBot="1" x14ac:dyDescent="0.3">
      <c r="A85" s="46" t="s">
        <v>11</v>
      </c>
      <c r="B85" s="111"/>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90"/>
      <c r="AC85" s="91"/>
      <c r="AD85" s="125"/>
      <c r="AE85" s="75">
        <f t="shared" ca="1" si="4"/>
        <v>0</v>
      </c>
    </row>
    <row r="86" spans="1:31" ht="16.5" thickBot="1" x14ac:dyDescent="0.3">
      <c r="A86" s="119"/>
      <c r="B86" s="88"/>
      <c r="C86" s="89"/>
      <c r="D86" s="89"/>
      <c r="E86" s="89"/>
      <c r="F86" s="89"/>
      <c r="G86" s="89"/>
      <c r="H86" s="89"/>
      <c r="I86" s="89"/>
      <c r="J86" s="89"/>
      <c r="K86" s="89"/>
      <c r="L86" s="89"/>
      <c r="M86" s="89"/>
      <c r="N86" s="89"/>
      <c r="O86" s="89"/>
      <c r="P86" s="89"/>
      <c r="Q86" s="89"/>
      <c r="R86" s="89"/>
      <c r="S86" s="89"/>
      <c r="T86" s="89"/>
      <c r="U86" s="89"/>
      <c r="V86" s="89"/>
      <c r="W86" s="89"/>
      <c r="X86" s="89"/>
      <c r="Y86" s="89"/>
      <c r="Z86" s="89"/>
      <c r="AA86" s="89"/>
      <c r="AB86" s="113"/>
      <c r="AC86" s="122"/>
      <c r="AD86" s="121"/>
      <c r="AE86" s="75">
        <f t="shared" ca="1" si="4"/>
        <v>0</v>
      </c>
    </row>
    <row r="87" spans="1:31" ht="16.5" thickBot="1" x14ac:dyDescent="0.3">
      <c r="A87" s="76"/>
      <c r="B87" s="77">
        <f ca="1">nbColor(B61:B85)</f>
        <v>0</v>
      </c>
      <c r="C87" s="77">
        <f t="shared" ref="C87:AC87" ca="1" si="5">nbColor(C61:C85)</f>
        <v>0</v>
      </c>
      <c r="D87" s="77">
        <f t="shared" ca="1" si="5"/>
        <v>0</v>
      </c>
      <c r="E87" s="77">
        <f t="shared" ca="1" si="5"/>
        <v>0</v>
      </c>
      <c r="F87" s="77">
        <f t="shared" ca="1" si="5"/>
        <v>0</v>
      </c>
      <c r="G87" s="77">
        <f t="shared" ca="1" si="5"/>
        <v>0</v>
      </c>
      <c r="H87" s="77">
        <f t="shared" ca="1" si="5"/>
        <v>0</v>
      </c>
      <c r="I87" s="77">
        <f t="shared" ca="1" si="5"/>
        <v>0</v>
      </c>
      <c r="J87" s="77">
        <f t="shared" ca="1" si="5"/>
        <v>0</v>
      </c>
      <c r="K87" s="77">
        <f t="shared" ca="1" si="5"/>
        <v>0</v>
      </c>
      <c r="L87" s="77">
        <f t="shared" ca="1" si="5"/>
        <v>0</v>
      </c>
      <c r="M87" s="77">
        <f t="shared" ca="1" si="5"/>
        <v>0</v>
      </c>
      <c r="N87" s="77">
        <f t="shared" ca="1" si="5"/>
        <v>0</v>
      </c>
      <c r="O87" s="77">
        <f t="shared" ca="1" si="5"/>
        <v>0</v>
      </c>
      <c r="P87" s="77">
        <f t="shared" ca="1" si="5"/>
        <v>0</v>
      </c>
      <c r="Q87" s="77">
        <f t="shared" ca="1" si="5"/>
        <v>0</v>
      </c>
      <c r="R87" s="77">
        <f t="shared" ca="1" si="5"/>
        <v>0</v>
      </c>
      <c r="S87" s="77">
        <f t="shared" ca="1" si="5"/>
        <v>0</v>
      </c>
      <c r="T87" s="77">
        <f t="shared" ca="1" si="5"/>
        <v>0</v>
      </c>
      <c r="U87" s="77">
        <f t="shared" ca="1" si="5"/>
        <v>0</v>
      </c>
      <c r="V87" s="77">
        <f t="shared" ca="1" si="5"/>
        <v>0</v>
      </c>
      <c r="W87" s="77">
        <f t="shared" ca="1" si="5"/>
        <v>0</v>
      </c>
      <c r="X87" s="77">
        <f t="shared" ca="1" si="5"/>
        <v>0</v>
      </c>
      <c r="Y87" s="77">
        <f t="shared" ca="1" si="5"/>
        <v>0</v>
      </c>
      <c r="Z87" s="77">
        <f t="shared" ca="1" si="5"/>
        <v>0</v>
      </c>
      <c r="AA87" s="77">
        <f t="shared" ca="1" si="5"/>
        <v>0</v>
      </c>
      <c r="AB87" s="77">
        <f t="shared" ca="1" si="5"/>
        <v>0</v>
      </c>
      <c r="AC87" s="77">
        <f t="shared" ca="1" si="5"/>
        <v>0</v>
      </c>
      <c r="AD87" s="116"/>
      <c r="AE87" s="78">
        <f ca="1">SUM(AE62:AE79)</f>
        <v>0</v>
      </c>
    </row>
    <row r="88" spans="1:31" x14ac:dyDescent="0.25">
      <c r="A88" s="48" t="s">
        <v>82</v>
      </c>
      <c r="B88" s="49" t="s">
        <v>46</v>
      </c>
      <c r="C88" s="50" t="s">
        <v>47</v>
      </c>
      <c r="D88" s="50" t="s">
        <v>48</v>
      </c>
      <c r="E88" s="50" t="s">
        <v>49</v>
      </c>
      <c r="F88" s="50" t="s">
        <v>50</v>
      </c>
      <c r="G88" s="51" t="s">
        <v>51</v>
      </c>
      <c r="H88" s="52" t="s">
        <v>52</v>
      </c>
      <c r="I88" s="53" t="s">
        <v>53</v>
      </c>
      <c r="J88" s="53" t="s">
        <v>54</v>
      </c>
      <c r="K88" s="54" t="s">
        <v>55</v>
      </c>
      <c r="L88" s="55" t="s">
        <v>56</v>
      </c>
      <c r="M88" s="56" t="s">
        <v>57</v>
      </c>
      <c r="N88" s="56" t="s">
        <v>58</v>
      </c>
      <c r="O88" s="57" t="s">
        <v>59</v>
      </c>
      <c r="P88" s="52" t="s">
        <v>60</v>
      </c>
      <c r="Q88" s="53" t="s">
        <v>61</v>
      </c>
      <c r="R88" s="53" t="s">
        <v>62</v>
      </c>
      <c r="S88" s="53" t="s">
        <v>63</v>
      </c>
      <c r="T88" s="53" t="s">
        <v>64</v>
      </c>
      <c r="U88" s="54" t="s">
        <v>65</v>
      </c>
      <c r="V88" s="55" t="s">
        <v>66</v>
      </c>
      <c r="W88" s="56" t="s">
        <v>67</v>
      </c>
      <c r="X88" s="56" t="s">
        <v>68</v>
      </c>
      <c r="Y88" s="56" t="s">
        <v>69</v>
      </c>
      <c r="Z88" s="56" t="s">
        <v>70</v>
      </c>
      <c r="AA88" s="57" t="s">
        <v>71</v>
      </c>
      <c r="AB88" s="58" t="s">
        <v>72</v>
      </c>
      <c r="AC88" s="59" t="s">
        <v>73</v>
      </c>
      <c r="AD88" s="140" t="s">
        <v>74</v>
      </c>
      <c r="AE88" s="60" t="s">
        <v>75</v>
      </c>
    </row>
    <row r="89" spans="1:31" ht="19.5" thickBot="1" x14ac:dyDescent="0.3">
      <c r="A89" s="61"/>
      <c r="B89" s="62" t="s">
        <v>47</v>
      </c>
      <c r="C89" s="63" t="s">
        <v>48</v>
      </c>
      <c r="D89" s="63" t="s">
        <v>49</v>
      </c>
      <c r="E89" s="63" t="s">
        <v>50</v>
      </c>
      <c r="F89" s="63" t="s">
        <v>51</v>
      </c>
      <c r="G89" s="64" t="s">
        <v>52</v>
      </c>
      <c r="H89" s="65" t="s">
        <v>53</v>
      </c>
      <c r="I89" s="66" t="s">
        <v>54</v>
      </c>
      <c r="J89" s="66" t="s">
        <v>55</v>
      </c>
      <c r="K89" s="67" t="s">
        <v>56</v>
      </c>
      <c r="L89" s="68" t="s">
        <v>57</v>
      </c>
      <c r="M89" s="69" t="s">
        <v>58</v>
      </c>
      <c r="N89" s="69" t="s">
        <v>59</v>
      </c>
      <c r="O89" s="70" t="s">
        <v>60</v>
      </c>
      <c r="P89" s="65" t="s">
        <v>61</v>
      </c>
      <c r="Q89" s="66" t="s">
        <v>62</v>
      </c>
      <c r="R89" s="66" t="s">
        <v>63</v>
      </c>
      <c r="S89" s="66" t="s">
        <v>64</v>
      </c>
      <c r="T89" s="66" t="s">
        <v>65</v>
      </c>
      <c r="U89" s="67" t="s">
        <v>66</v>
      </c>
      <c r="V89" s="68" t="s">
        <v>67</v>
      </c>
      <c r="W89" s="69" t="s">
        <v>68</v>
      </c>
      <c r="X89" s="69" t="s">
        <v>69</v>
      </c>
      <c r="Y89" s="69" t="s">
        <v>70</v>
      </c>
      <c r="Z89" s="69" t="s">
        <v>71</v>
      </c>
      <c r="AA89" s="70" t="s">
        <v>72</v>
      </c>
      <c r="AB89" s="71" t="s">
        <v>73</v>
      </c>
      <c r="AC89" s="72" t="s">
        <v>76</v>
      </c>
      <c r="AD89" s="141"/>
      <c r="AE89" s="73" t="s">
        <v>77</v>
      </c>
    </row>
    <row r="90" spans="1:31" x14ac:dyDescent="0.25">
      <c r="A90" s="44" t="s">
        <v>9</v>
      </c>
      <c r="B90" s="79"/>
      <c r="C90" s="80"/>
      <c r="D90" s="80"/>
      <c r="E90" s="80"/>
      <c r="F90" s="80"/>
      <c r="G90" s="80"/>
      <c r="H90" s="80"/>
      <c r="I90" s="80"/>
      <c r="J90" s="80"/>
      <c r="K90" s="80"/>
      <c r="L90" s="80"/>
      <c r="M90" s="80"/>
      <c r="N90" s="80"/>
      <c r="O90" s="80"/>
      <c r="P90" s="80"/>
      <c r="Q90" s="80"/>
      <c r="R90" s="80"/>
      <c r="S90" s="80"/>
      <c r="T90" s="81"/>
      <c r="U90" s="80"/>
      <c r="V90" s="80"/>
      <c r="W90" s="80"/>
      <c r="X90" s="80"/>
      <c r="Y90" s="80"/>
      <c r="Z90" s="80"/>
      <c r="AA90" s="80"/>
      <c r="AB90" s="80"/>
      <c r="AC90" s="82"/>
      <c r="AD90" s="83"/>
      <c r="AE90" s="74">
        <f ca="1">(nbColor(B90:AC90)/2)-AD90</f>
        <v>0</v>
      </c>
    </row>
    <row r="91" spans="1:31" x14ac:dyDescent="0.25">
      <c r="A91" s="22" t="s">
        <v>5</v>
      </c>
      <c r="B91" s="79"/>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4"/>
      <c r="AD91" s="83"/>
      <c r="AE91" s="75">
        <f t="shared" ref="AE91:AE115" ca="1" si="6">(nbColor(B91:AC91)/2)-AD91</f>
        <v>0</v>
      </c>
    </row>
    <row r="92" spans="1:31" x14ac:dyDescent="0.25">
      <c r="A92" s="23" t="s">
        <v>17</v>
      </c>
      <c r="B92" s="79"/>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4"/>
      <c r="AD92" s="83"/>
      <c r="AE92" s="75">
        <f t="shared" ca="1" si="6"/>
        <v>0</v>
      </c>
    </row>
    <row r="93" spans="1:31" x14ac:dyDescent="0.25">
      <c r="A93" s="23" t="s">
        <v>1</v>
      </c>
      <c r="B93" s="79"/>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5"/>
      <c r="AC93" s="84"/>
      <c r="AD93" s="83"/>
      <c r="AE93" s="75">
        <f t="shared" ca="1" si="6"/>
        <v>0</v>
      </c>
    </row>
    <row r="94" spans="1:31" x14ac:dyDescent="0.25">
      <c r="A94" s="24" t="s">
        <v>8</v>
      </c>
      <c r="B94" s="79"/>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5"/>
      <c r="AC94" s="84"/>
      <c r="AD94" s="83"/>
      <c r="AE94" s="75">
        <f t="shared" ca="1" si="6"/>
        <v>0</v>
      </c>
    </row>
    <row r="95" spans="1:31" x14ac:dyDescent="0.25">
      <c r="A95" s="24" t="s">
        <v>7</v>
      </c>
      <c r="B95" s="79"/>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5"/>
      <c r="AC95" s="84"/>
      <c r="AD95" s="83"/>
      <c r="AE95" s="75">
        <f t="shared" ca="1" si="6"/>
        <v>0</v>
      </c>
    </row>
    <row r="96" spans="1:31" x14ac:dyDescent="0.25">
      <c r="A96" s="25" t="s">
        <v>16</v>
      </c>
      <c r="B96" s="79"/>
      <c r="C96" s="81"/>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2"/>
      <c r="AD96" s="83"/>
      <c r="AE96" s="75">
        <f t="shared" ca="1" si="6"/>
        <v>0</v>
      </c>
    </row>
    <row r="97" spans="1:31" x14ac:dyDescent="0.25">
      <c r="A97" s="25" t="s">
        <v>0</v>
      </c>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2"/>
      <c r="AD97" s="83"/>
      <c r="AE97" s="75">
        <f t="shared" ca="1" si="6"/>
        <v>0</v>
      </c>
    </row>
    <row r="98" spans="1:31" x14ac:dyDescent="0.25">
      <c r="A98" s="26" t="s">
        <v>18</v>
      </c>
      <c r="B98" s="86"/>
      <c r="C98" s="80"/>
      <c r="D98" s="80"/>
      <c r="E98" s="80"/>
      <c r="F98" s="80"/>
      <c r="G98" s="87"/>
      <c r="H98" s="80"/>
      <c r="I98" s="80"/>
      <c r="J98" s="80"/>
      <c r="K98" s="80"/>
      <c r="L98" s="80"/>
      <c r="M98" s="80"/>
      <c r="N98" s="80"/>
      <c r="O98" s="80"/>
      <c r="P98" s="80"/>
      <c r="Q98" s="80"/>
      <c r="R98" s="80"/>
      <c r="S98" s="80"/>
      <c r="T98" s="80"/>
      <c r="U98" s="80"/>
      <c r="V98" s="80"/>
      <c r="W98" s="80"/>
      <c r="X98" s="80"/>
      <c r="Y98" s="80"/>
      <c r="Z98" s="80"/>
      <c r="AA98" s="80"/>
      <c r="AB98" s="80"/>
      <c r="AC98" s="82"/>
      <c r="AD98" s="83"/>
      <c r="AE98" s="75">
        <f t="shared" ca="1" si="6"/>
        <v>0</v>
      </c>
    </row>
    <row r="99" spans="1:31" x14ac:dyDescent="0.25">
      <c r="A99" s="26" t="s">
        <v>2</v>
      </c>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5"/>
      <c r="AC99" s="84"/>
      <c r="AD99" s="83"/>
      <c r="AE99" s="75">
        <f t="shared" ca="1" si="6"/>
        <v>0</v>
      </c>
    </row>
    <row r="100" spans="1:31" x14ac:dyDescent="0.25">
      <c r="A100" s="27" t="s">
        <v>15</v>
      </c>
      <c r="B100" s="86"/>
      <c r="C100" s="80"/>
      <c r="D100" s="80"/>
      <c r="E100" s="80"/>
      <c r="F100" s="80"/>
      <c r="G100" s="87"/>
      <c r="H100" s="80"/>
      <c r="I100" s="80"/>
      <c r="J100" s="80"/>
      <c r="K100" s="80"/>
      <c r="L100" s="80"/>
      <c r="M100" s="80"/>
      <c r="N100" s="80"/>
      <c r="O100" s="80"/>
      <c r="P100" s="80"/>
      <c r="Q100" s="80"/>
      <c r="R100" s="80"/>
      <c r="S100" s="80"/>
      <c r="T100" s="80"/>
      <c r="U100" s="80"/>
      <c r="V100" s="80"/>
      <c r="W100" s="80"/>
      <c r="X100" s="80"/>
      <c r="Y100" s="80"/>
      <c r="Z100" s="80"/>
      <c r="AA100" s="80"/>
      <c r="AB100" s="80"/>
      <c r="AC100" s="84"/>
      <c r="AD100" s="83"/>
      <c r="AE100" s="75">
        <f t="shared" ca="1" si="6"/>
        <v>0</v>
      </c>
    </row>
    <row r="101" spans="1:31" x14ac:dyDescent="0.25">
      <c r="A101" s="27" t="s">
        <v>38</v>
      </c>
      <c r="B101" s="79"/>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4"/>
      <c r="AD101" s="83"/>
      <c r="AE101" s="75">
        <f t="shared" ca="1" si="6"/>
        <v>0</v>
      </c>
    </row>
    <row r="102" spans="1:31" x14ac:dyDescent="0.25">
      <c r="A102" s="27" t="s">
        <v>3</v>
      </c>
      <c r="B102" s="79"/>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4"/>
      <c r="AD102" s="83"/>
      <c r="AE102" s="75">
        <f t="shared" ca="1" si="6"/>
        <v>0</v>
      </c>
    </row>
    <row r="103" spans="1:31" x14ac:dyDescent="0.25">
      <c r="A103" s="27" t="s">
        <v>6</v>
      </c>
      <c r="B103" s="79"/>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5"/>
      <c r="AC103" s="84"/>
      <c r="AD103" s="83"/>
      <c r="AE103" s="75">
        <f t="shared" ca="1" si="6"/>
        <v>0</v>
      </c>
    </row>
    <row r="104" spans="1:31" x14ac:dyDescent="0.25">
      <c r="A104" s="27" t="s">
        <v>39</v>
      </c>
      <c r="B104" s="79"/>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4"/>
      <c r="AD104" s="83"/>
      <c r="AE104" s="75">
        <f t="shared" ca="1" si="6"/>
        <v>0</v>
      </c>
    </row>
    <row r="105" spans="1:31" x14ac:dyDescent="0.25">
      <c r="A105" s="27" t="s">
        <v>12</v>
      </c>
      <c r="B105" s="79"/>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4"/>
      <c r="AD105" s="83"/>
      <c r="AE105" s="75">
        <f t="shared" ca="1" si="6"/>
        <v>0</v>
      </c>
    </row>
    <row r="106" spans="1:31" x14ac:dyDescent="0.25">
      <c r="A106" s="27" t="s">
        <v>14</v>
      </c>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4"/>
      <c r="AD106" s="83"/>
      <c r="AE106" s="75">
        <f t="shared" ca="1" si="6"/>
        <v>0</v>
      </c>
    </row>
    <row r="107" spans="1:31" x14ac:dyDescent="0.25">
      <c r="A107" s="28" t="s">
        <v>4</v>
      </c>
      <c r="B107" s="118"/>
      <c r="C107" s="118"/>
      <c r="D107" s="118"/>
      <c r="E107" s="118"/>
      <c r="F107" s="118"/>
      <c r="G107" s="118"/>
      <c r="H107" s="118"/>
      <c r="I107" s="118"/>
      <c r="J107" s="118"/>
      <c r="K107" s="118"/>
      <c r="L107" s="118"/>
      <c r="M107" s="118"/>
      <c r="N107" s="118"/>
      <c r="O107" s="118"/>
      <c r="P107" s="118"/>
      <c r="Q107" s="118"/>
      <c r="R107" s="118"/>
      <c r="S107" s="118"/>
      <c r="T107" s="118"/>
      <c r="U107" s="118"/>
      <c r="V107" s="118"/>
      <c r="W107" s="118"/>
      <c r="X107" s="118"/>
      <c r="Y107" s="118"/>
      <c r="Z107" s="118"/>
      <c r="AA107" s="118"/>
      <c r="AB107" s="85"/>
      <c r="AC107" s="84"/>
      <c r="AD107" s="83"/>
      <c r="AE107" s="75">
        <f t="shared" ca="1" si="6"/>
        <v>0</v>
      </c>
    </row>
    <row r="108" spans="1:31" x14ac:dyDescent="0.25">
      <c r="A108" s="27" t="s">
        <v>40</v>
      </c>
      <c r="B108" s="115"/>
      <c r="C108" s="118"/>
      <c r="D108" s="118"/>
      <c r="E108" s="118"/>
      <c r="F108" s="118"/>
      <c r="G108" s="118"/>
      <c r="H108" s="118"/>
      <c r="I108" s="118"/>
      <c r="J108" s="118"/>
      <c r="K108" s="118"/>
      <c r="L108" s="118"/>
      <c r="M108" s="118"/>
      <c r="N108" s="118"/>
      <c r="O108" s="118"/>
      <c r="P108" s="118"/>
      <c r="Q108" s="118"/>
      <c r="R108" s="118"/>
      <c r="S108" s="118"/>
      <c r="T108" s="118"/>
      <c r="U108" s="118"/>
      <c r="V108" s="118"/>
      <c r="W108" s="118"/>
      <c r="X108" s="118"/>
      <c r="Y108" s="118"/>
      <c r="Z108" s="118"/>
      <c r="AA108" s="118"/>
      <c r="AB108" s="85"/>
      <c r="AC108" s="84"/>
      <c r="AD108" s="124"/>
      <c r="AE108" s="75">
        <f t="shared" ca="1" si="6"/>
        <v>0</v>
      </c>
    </row>
    <row r="109" spans="1:31" x14ac:dyDescent="0.25">
      <c r="A109" s="27" t="s">
        <v>41</v>
      </c>
      <c r="B109" s="117"/>
      <c r="C109" s="118"/>
      <c r="D109" s="118"/>
      <c r="E109" s="118"/>
      <c r="F109" s="118"/>
      <c r="G109" s="118"/>
      <c r="H109" s="118"/>
      <c r="I109" s="118"/>
      <c r="J109" s="118"/>
      <c r="K109" s="118"/>
      <c r="L109" s="118"/>
      <c r="M109" s="118"/>
      <c r="N109" s="118"/>
      <c r="O109" s="118"/>
      <c r="P109" s="118"/>
      <c r="Q109" s="118"/>
      <c r="R109" s="118"/>
      <c r="S109" s="118"/>
      <c r="T109" s="118"/>
      <c r="U109" s="118"/>
      <c r="V109" s="118"/>
      <c r="W109" s="118"/>
      <c r="X109" s="118"/>
      <c r="Y109" s="118"/>
      <c r="Z109" s="118"/>
      <c r="AA109" s="118"/>
      <c r="AB109" s="114"/>
      <c r="AC109" s="84"/>
      <c r="AD109" s="123"/>
      <c r="AE109" s="75">
        <f t="shared" ca="1" si="6"/>
        <v>0</v>
      </c>
    </row>
    <row r="110" spans="1:31" x14ac:dyDescent="0.25">
      <c r="A110" s="27" t="s">
        <v>42</v>
      </c>
      <c r="B110" s="79"/>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5"/>
      <c r="AC110" s="84"/>
      <c r="AD110" s="120"/>
      <c r="AE110" s="75">
        <f t="shared" ca="1" si="6"/>
        <v>0</v>
      </c>
    </row>
    <row r="111" spans="1:31" x14ac:dyDescent="0.25">
      <c r="A111" s="45" t="s">
        <v>19</v>
      </c>
      <c r="B111" s="79"/>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5"/>
      <c r="AC111" s="84"/>
      <c r="AD111" s="120"/>
      <c r="AE111" s="75">
        <f t="shared" ca="1" si="6"/>
        <v>0</v>
      </c>
    </row>
    <row r="112" spans="1:31" x14ac:dyDescent="0.25">
      <c r="A112" s="45" t="s">
        <v>10</v>
      </c>
      <c r="B112" s="111"/>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90"/>
      <c r="AC112" s="91"/>
      <c r="AD112" s="120"/>
      <c r="AE112" s="75">
        <f t="shared" ca="1" si="6"/>
        <v>0</v>
      </c>
    </row>
    <row r="113" spans="1:31" x14ac:dyDescent="0.25">
      <c r="A113" s="45" t="s">
        <v>13</v>
      </c>
      <c r="B113" s="111"/>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90"/>
      <c r="AC113" s="91"/>
      <c r="AD113" s="125"/>
      <c r="AE113" s="75">
        <f t="shared" ca="1" si="6"/>
        <v>0</v>
      </c>
    </row>
    <row r="114" spans="1:31" ht="16.5" thickBot="1" x14ac:dyDescent="0.3">
      <c r="A114" s="46" t="s">
        <v>11</v>
      </c>
      <c r="B114" s="111"/>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90"/>
      <c r="AC114" s="91"/>
      <c r="AD114" s="125"/>
      <c r="AE114" s="75">
        <f t="shared" ca="1" si="6"/>
        <v>0</v>
      </c>
    </row>
    <row r="115" spans="1:31" ht="16.5" thickBot="1" x14ac:dyDescent="0.3">
      <c r="A115" s="119"/>
      <c r="B115" s="88"/>
      <c r="C115" s="89"/>
      <c r="D115" s="89"/>
      <c r="E115" s="89"/>
      <c r="F115" s="89"/>
      <c r="G115" s="89"/>
      <c r="H115" s="89"/>
      <c r="I115" s="89"/>
      <c r="J115" s="89"/>
      <c r="K115" s="89"/>
      <c r="L115" s="89"/>
      <c r="M115" s="89"/>
      <c r="N115" s="89"/>
      <c r="O115" s="89"/>
      <c r="P115" s="89"/>
      <c r="Q115" s="89"/>
      <c r="R115" s="89"/>
      <c r="S115" s="89"/>
      <c r="T115" s="89"/>
      <c r="U115" s="89"/>
      <c r="V115" s="89"/>
      <c r="W115" s="89"/>
      <c r="X115" s="89"/>
      <c r="Y115" s="89"/>
      <c r="Z115" s="89"/>
      <c r="AA115" s="89"/>
      <c r="AB115" s="113"/>
      <c r="AC115" s="122"/>
      <c r="AD115" s="121"/>
      <c r="AE115" s="75">
        <f t="shared" ca="1" si="6"/>
        <v>0</v>
      </c>
    </row>
    <row r="116" spans="1:31" ht="16.5" thickBot="1" x14ac:dyDescent="0.3">
      <c r="A116" s="76"/>
      <c r="B116" s="77">
        <f ca="1">nbColor(B90:B114)</f>
        <v>0</v>
      </c>
      <c r="C116" s="77">
        <f t="shared" ref="C116:AC116" ca="1" si="7">nbColor(C90:C114)</f>
        <v>0</v>
      </c>
      <c r="D116" s="77">
        <f t="shared" ca="1" si="7"/>
        <v>0</v>
      </c>
      <c r="E116" s="77">
        <f t="shared" ca="1" si="7"/>
        <v>0</v>
      </c>
      <c r="F116" s="77">
        <f t="shared" ca="1" si="7"/>
        <v>0</v>
      </c>
      <c r="G116" s="77">
        <f t="shared" ca="1" si="7"/>
        <v>0</v>
      </c>
      <c r="H116" s="77">
        <f t="shared" ca="1" si="7"/>
        <v>0</v>
      </c>
      <c r="I116" s="77">
        <f t="shared" ca="1" si="7"/>
        <v>0</v>
      </c>
      <c r="J116" s="77">
        <f t="shared" ca="1" si="7"/>
        <v>0</v>
      </c>
      <c r="K116" s="77">
        <f t="shared" ca="1" si="7"/>
        <v>0</v>
      </c>
      <c r="L116" s="77">
        <f t="shared" ca="1" si="7"/>
        <v>0</v>
      </c>
      <c r="M116" s="77">
        <f t="shared" ca="1" si="7"/>
        <v>0</v>
      </c>
      <c r="N116" s="77">
        <f t="shared" ca="1" si="7"/>
        <v>0</v>
      </c>
      <c r="O116" s="77">
        <f t="shared" ca="1" si="7"/>
        <v>0</v>
      </c>
      <c r="P116" s="77">
        <f t="shared" ca="1" si="7"/>
        <v>0</v>
      </c>
      <c r="Q116" s="77">
        <f t="shared" ca="1" si="7"/>
        <v>0</v>
      </c>
      <c r="R116" s="77">
        <f t="shared" ca="1" si="7"/>
        <v>0</v>
      </c>
      <c r="S116" s="77">
        <f t="shared" ca="1" si="7"/>
        <v>0</v>
      </c>
      <c r="T116" s="77">
        <f t="shared" ca="1" si="7"/>
        <v>0</v>
      </c>
      <c r="U116" s="77">
        <f t="shared" ca="1" si="7"/>
        <v>0</v>
      </c>
      <c r="V116" s="77">
        <f t="shared" ca="1" si="7"/>
        <v>0</v>
      </c>
      <c r="W116" s="77">
        <f t="shared" ca="1" si="7"/>
        <v>0</v>
      </c>
      <c r="X116" s="77">
        <f t="shared" ca="1" si="7"/>
        <v>0</v>
      </c>
      <c r="Y116" s="77">
        <f t="shared" ca="1" si="7"/>
        <v>0</v>
      </c>
      <c r="Z116" s="77">
        <f t="shared" ca="1" si="7"/>
        <v>0</v>
      </c>
      <c r="AA116" s="77">
        <f t="shared" ca="1" si="7"/>
        <v>0</v>
      </c>
      <c r="AB116" s="77">
        <f t="shared" ca="1" si="7"/>
        <v>0</v>
      </c>
      <c r="AC116" s="77">
        <f t="shared" ca="1" si="7"/>
        <v>0</v>
      </c>
      <c r="AD116" s="116"/>
      <c r="AE116" s="78">
        <f ca="1">SUM(AE91:AE108)</f>
        <v>0</v>
      </c>
    </row>
    <row r="117" spans="1:31" x14ac:dyDescent="0.25">
      <c r="A117" s="48" t="s">
        <v>83</v>
      </c>
      <c r="B117" s="49" t="s">
        <v>46</v>
      </c>
      <c r="C117" s="50" t="s">
        <v>47</v>
      </c>
      <c r="D117" s="50" t="s">
        <v>48</v>
      </c>
      <c r="E117" s="50" t="s">
        <v>49</v>
      </c>
      <c r="F117" s="50" t="s">
        <v>50</v>
      </c>
      <c r="G117" s="51" t="s">
        <v>51</v>
      </c>
      <c r="H117" s="52" t="s">
        <v>52</v>
      </c>
      <c r="I117" s="53" t="s">
        <v>53</v>
      </c>
      <c r="J117" s="53" t="s">
        <v>54</v>
      </c>
      <c r="K117" s="54" t="s">
        <v>55</v>
      </c>
      <c r="L117" s="55" t="s">
        <v>56</v>
      </c>
      <c r="M117" s="56" t="s">
        <v>57</v>
      </c>
      <c r="N117" s="56" t="s">
        <v>58</v>
      </c>
      <c r="O117" s="57" t="s">
        <v>59</v>
      </c>
      <c r="P117" s="52" t="s">
        <v>60</v>
      </c>
      <c r="Q117" s="53" t="s">
        <v>61</v>
      </c>
      <c r="R117" s="53" t="s">
        <v>62</v>
      </c>
      <c r="S117" s="53" t="s">
        <v>63</v>
      </c>
      <c r="T117" s="53" t="s">
        <v>64</v>
      </c>
      <c r="U117" s="54" t="s">
        <v>65</v>
      </c>
      <c r="V117" s="55" t="s">
        <v>66</v>
      </c>
      <c r="W117" s="56" t="s">
        <v>67</v>
      </c>
      <c r="X117" s="56" t="s">
        <v>68</v>
      </c>
      <c r="Y117" s="56" t="s">
        <v>69</v>
      </c>
      <c r="Z117" s="56" t="s">
        <v>70</v>
      </c>
      <c r="AA117" s="57" t="s">
        <v>71</v>
      </c>
      <c r="AB117" s="58" t="s">
        <v>72</v>
      </c>
      <c r="AC117" s="59" t="s">
        <v>73</v>
      </c>
      <c r="AD117" s="140" t="s">
        <v>74</v>
      </c>
      <c r="AE117" s="60" t="s">
        <v>75</v>
      </c>
    </row>
    <row r="118" spans="1:31" ht="19.5" thickBot="1" x14ac:dyDescent="0.3">
      <c r="A118" s="61"/>
      <c r="B118" s="62" t="s">
        <v>47</v>
      </c>
      <c r="C118" s="63" t="s">
        <v>48</v>
      </c>
      <c r="D118" s="63" t="s">
        <v>49</v>
      </c>
      <c r="E118" s="63" t="s">
        <v>50</v>
      </c>
      <c r="F118" s="63" t="s">
        <v>51</v>
      </c>
      <c r="G118" s="64" t="s">
        <v>52</v>
      </c>
      <c r="H118" s="65" t="s">
        <v>53</v>
      </c>
      <c r="I118" s="66" t="s">
        <v>54</v>
      </c>
      <c r="J118" s="66" t="s">
        <v>55</v>
      </c>
      <c r="K118" s="67" t="s">
        <v>56</v>
      </c>
      <c r="L118" s="68" t="s">
        <v>57</v>
      </c>
      <c r="M118" s="69" t="s">
        <v>58</v>
      </c>
      <c r="N118" s="69" t="s">
        <v>59</v>
      </c>
      <c r="O118" s="70" t="s">
        <v>60</v>
      </c>
      <c r="P118" s="65" t="s">
        <v>61</v>
      </c>
      <c r="Q118" s="66" t="s">
        <v>62</v>
      </c>
      <c r="R118" s="66" t="s">
        <v>63</v>
      </c>
      <c r="S118" s="66" t="s">
        <v>64</v>
      </c>
      <c r="T118" s="66" t="s">
        <v>65</v>
      </c>
      <c r="U118" s="67" t="s">
        <v>66</v>
      </c>
      <c r="V118" s="68" t="s">
        <v>67</v>
      </c>
      <c r="W118" s="69" t="s">
        <v>68</v>
      </c>
      <c r="X118" s="69" t="s">
        <v>69</v>
      </c>
      <c r="Y118" s="69" t="s">
        <v>70</v>
      </c>
      <c r="Z118" s="69" t="s">
        <v>71</v>
      </c>
      <c r="AA118" s="70" t="s">
        <v>72</v>
      </c>
      <c r="AB118" s="71" t="s">
        <v>73</v>
      </c>
      <c r="AC118" s="72" t="s">
        <v>76</v>
      </c>
      <c r="AD118" s="141"/>
      <c r="AE118" s="73" t="s">
        <v>77</v>
      </c>
    </row>
    <row r="119" spans="1:31" x14ac:dyDescent="0.25">
      <c r="A119" s="44" t="s">
        <v>9</v>
      </c>
      <c r="B119" s="79"/>
      <c r="C119" s="80"/>
      <c r="D119" s="80"/>
      <c r="E119" s="80"/>
      <c r="F119" s="80"/>
      <c r="G119" s="80"/>
      <c r="H119" s="80"/>
      <c r="I119" s="80"/>
      <c r="J119" s="80"/>
      <c r="K119" s="80"/>
      <c r="L119" s="80"/>
      <c r="M119" s="80"/>
      <c r="N119" s="80"/>
      <c r="O119" s="80"/>
      <c r="P119" s="80"/>
      <c r="Q119" s="80"/>
      <c r="R119" s="80"/>
      <c r="S119" s="80"/>
      <c r="T119" s="81"/>
      <c r="U119" s="80"/>
      <c r="V119" s="80"/>
      <c r="W119" s="80"/>
      <c r="X119" s="80"/>
      <c r="Y119" s="80"/>
      <c r="Z119" s="80"/>
      <c r="AA119" s="80"/>
      <c r="AB119" s="80"/>
      <c r="AC119" s="82"/>
      <c r="AD119" s="83"/>
      <c r="AE119" s="74">
        <f ca="1">(nbColor(B119:AC119)/2)-AD119</f>
        <v>0</v>
      </c>
    </row>
    <row r="120" spans="1:31" x14ac:dyDescent="0.25">
      <c r="A120" s="22" t="s">
        <v>5</v>
      </c>
      <c r="B120" s="79"/>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4"/>
      <c r="AD120" s="83"/>
      <c r="AE120" s="75">
        <f t="shared" ref="AE120:AE144" ca="1" si="8">(nbColor(B120:AC120)/2)-AD120</f>
        <v>0</v>
      </c>
    </row>
    <row r="121" spans="1:31" x14ac:dyDescent="0.25">
      <c r="A121" s="23" t="s">
        <v>17</v>
      </c>
      <c r="B121" s="79"/>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4"/>
      <c r="AD121" s="83"/>
      <c r="AE121" s="75">
        <f t="shared" ca="1" si="8"/>
        <v>0</v>
      </c>
    </row>
    <row r="122" spans="1:31" x14ac:dyDescent="0.25">
      <c r="A122" s="23" t="s">
        <v>1</v>
      </c>
      <c r="B122" s="79"/>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5"/>
      <c r="AC122" s="84"/>
      <c r="AD122" s="83"/>
      <c r="AE122" s="75">
        <f t="shared" ca="1" si="8"/>
        <v>0</v>
      </c>
    </row>
    <row r="123" spans="1:31" x14ac:dyDescent="0.25">
      <c r="A123" s="24" t="s">
        <v>8</v>
      </c>
      <c r="B123" s="79"/>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5"/>
      <c r="AC123" s="84"/>
      <c r="AD123" s="83"/>
      <c r="AE123" s="75">
        <f t="shared" ca="1" si="8"/>
        <v>0</v>
      </c>
    </row>
    <row r="124" spans="1:31" x14ac:dyDescent="0.25">
      <c r="A124" s="24" t="s">
        <v>7</v>
      </c>
      <c r="B124" s="79"/>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5"/>
      <c r="AC124" s="84"/>
      <c r="AD124" s="83"/>
      <c r="AE124" s="75">
        <f t="shared" ca="1" si="8"/>
        <v>0</v>
      </c>
    </row>
    <row r="125" spans="1:31" x14ac:dyDescent="0.25">
      <c r="A125" s="25" t="s">
        <v>16</v>
      </c>
      <c r="B125" s="79"/>
      <c r="C125" s="81"/>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2"/>
      <c r="AD125" s="83"/>
      <c r="AE125" s="75">
        <f t="shared" ca="1" si="8"/>
        <v>0</v>
      </c>
    </row>
    <row r="126" spans="1:31" x14ac:dyDescent="0.25">
      <c r="A126" s="25" t="s">
        <v>0</v>
      </c>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2"/>
      <c r="AD126" s="83"/>
      <c r="AE126" s="75">
        <f t="shared" ca="1" si="8"/>
        <v>0</v>
      </c>
    </row>
    <row r="127" spans="1:31" x14ac:dyDescent="0.25">
      <c r="A127" s="26" t="s">
        <v>18</v>
      </c>
      <c r="B127" s="86"/>
      <c r="C127" s="80"/>
      <c r="D127" s="80"/>
      <c r="E127" s="80"/>
      <c r="F127" s="80"/>
      <c r="G127" s="87"/>
      <c r="H127" s="80"/>
      <c r="I127" s="80"/>
      <c r="J127" s="80"/>
      <c r="K127" s="80"/>
      <c r="L127" s="80"/>
      <c r="M127" s="80"/>
      <c r="N127" s="80"/>
      <c r="O127" s="80"/>
      <c r="P127" s="80"/>
      <c r="Q127" s="80"/>
      <c r="R127" s="80"/>
      <c r="S127" s="80"/>
      <c r="T127" s="80"/>
      <c r="U127" s="80"/>
      <c r="V127" s="80"/>
      <c r="W127" s="80"/>
      <c r="X127" s="80"/>
      <c r="Y127" s="80"/>
      <c r="Z127" s="80"/>
      <c r="AA127" s="80"/>
      <c r="AB127" s="80"/>
      <c r="AC127" s="82"/>
      <c r="AD127" s="83"/>
      <c r="AE127" s="75">
        <f t="shared" ca="1" si="8"/>
        <v>0</v>
      </c>
    </row>
    <row r="128" spans="1:31" x14ac:dyDescent="0.25">
      <c r="A128" s="26" t="s">
        <v>2</v>
      </c>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5"/>
      <c r="AC128" s="84"/>
      <c r="AD128" s="83"/>
      <c r="AE128" s="75">
        <f t="shared" ca="1" si="8"/>
        <v>0</v>
      </c>
    </row>
    <row r="129" spans="1:31" x14ac:dyDescent="0.25">
      <c r="A129" s="27" t="s">
        <v>15</v>
      </c>
      <c r="B129" s="86"/>
      <c r="C129" s="80"/>
      <c r="D129" s="80"/>
      <c r="E129" s="80"/>
      <c r="F129" s="80"/>
      <c r="G129" s="87"/>
      <c r="H129" s="80"/>
      <c r="I129" s="80"/>
      <c r="J129" s="80"/>
      <c r="K129" s="80"/>
      <c r="L129" s="80"/>
      <c r="M129" s="80"/>
      <c r="N129" s="80"/>
      <c r="O129" s="80"/>
      <c r="P129" s="80"/>
      <c r="Q129" s="80"/>
      <c r="R129" s="80"/>
      <c r="S129" s="80"/>
      <c r="T129" s="80"/>
      <c r="U129" s="80"/>
      <c r="V129" s="80"/>
      <c r="W129" s="80"/>
      <c r="X129" s="80"/>
      <c r="Y129" s="80"/>
      <c r="Z129" s="80"/>
      <c r="AA129" s="80"/>
      <c r="AB129" s="80"/>
      <c r="AC129" s="84"/>
      <c r="AD129" s="83"/>
      <c r="AE129" s="75">
        <f t="shared" ca="1" si="8"/>
        <v>0</v>
      </c>
    </row>
    <row r="130" spans="1:31" x14ac:dyDescent="0.25">
      <c r="A130" s="27" t="s">
        <v>38</v>
      </c>
      <c r="B130" s="79"/>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4"/>
      <c r="AD130" s="83"/>
      <c r="AE130" s="75">
        <f t="shared" ca="1" si="8"/>
        <v>0</v>
      </c>
    </row>
    <row r="131" spans="1:31" x14ac:dyDescent="0.25">
      <c r="A131" s="27" t="s">
        <v>3</v>
      </c>
      <c r="B131" s="79"/>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4"/>
      <c r="AD131" s="83"/>
      <c r="AE131" s="75">
        <f t="shared" ca="1" si="8"/>
        <v>0</v>
      </c>
    </row>
    <row r="132" spans="1:31" x14ac:dyDescent="0.25">
      <c r="A132" s="27" t="s">
        <v>6</v>
      </c>
      <c r="B132" s="79"/>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5"/>
      <c r="AC132" s="84"/>
      <c r="AD132" s="83"/>
      <c r="AE132" s="75">
        <f t="shared" ca="1" si="8"/>
        <v>0</v>
      </c>
    </row>
    <row r="133" spans="1:31" x14ac:dyDescent="0.25">
      <c r="A133" s="27" t="s">
        <v>39</v>
      </c>
      <c r="B133" s="79"/>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4"/>
      <c r="AD133" s="83"/>
      <c r="AE133" s="75">
        <f t="shared" ca="1" si="8"/>
        <v>0</v>
      </c>
    </row>
    <row r="134" spans="1:31" x14ac:dyDescent="0.25">
      <c r="A134" s="27" t="s">
        <v>12</v>
      </c>
      <c r="B134" s="79"/>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4"/>
      <c r="AD134" s="83"/>
      <c r="AE134" s="75">
        <f t="shared" ca="1" si="8"/>
        <v>0</v>
      </c>
    </row>
    <row r="135" spans="1:31" x14ac:dyDescent="0.25">
      <c r="A135" s="27" t="s">
        <v>14</v>
      </c>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4"/>
      <c r="AD135" s="83"/>
      <c r="AE135" s="75">
        <f t="shared" ca="1" si="8"/>
        <v>0</v>
      </c>
    </row>
    <row r="136" spans="1:31" x14ac:dyDescent="0.25">
      <c r="A136" s="28" t="s">
        <v>4</v>
      </c>
      <c r="B136" s="118"/>
      <c r="C136" s="118"/>
      <c r="D136" s="118"/>
      <c r="E136" s="118"/>
      <c r="F136" s="118"/>
      <c r="G136" s="118"/>
      <c r="H136" s="118"/>
      <c r="I136" s="118"/>
      <c r="J136" s="118"/>
      <c r="K136" s="118"/>
      <c r="L136" s="118"/>
      <c r="M136" s="118"/>
      <c r="N136" s="118"/>
      <c r="O136" s="118"/>
      <c r="P136" s="118"/>
      <c r="Q136" s="118"/>
      <c r="R136" s="118"/>
      <c r="S136" s="118"/>
      <c r="T136" s="118"/>
      <c r="U136" s="118"/>
      <c r="V136" s="118"/>
      <c r="W136" s="118"/>
      <c r="X136" s="118"/>
      <c r="Y136" s="118"/>
      <c r="Z136" s="118"/>
      <c r="AA136" s="118"/>
      <c r="AB136" s="85"/>
      <c r="AC136" s="84"/>
      <c r="AD136" s="83"/>
      <c r="AE136" s="75">
        <f t="shared" ca="1" si="8"/>
        <v>0</v>
      </c>
    </row>
    <row r="137" spans="1:31" x14ac:dyDescent="0.25">
      <c r="A137" s="27" t="s">
        <v>40</v>
      </c>
      <c r="B137" s="115"/>
      <c r="C137" s="118"/>
      <c r="D137" s="118"/>
      <c r="E137" s="118"/>
      <c r="F137" s="118"/>
      <c r="G137" s="118"/>
      <c r="H137" s="118"/>
      <c r="I137" s="118"/>
      <c r="J137" s="118"/>
      <c r="K137" s="118"/>
      <c r="L137" s="118"/>
      <c r="M137" s="118"/>
      <c r="N137" s="118"/>
      <c r="O137" s="118"/>
      <c r="P137" s="118"/>
      <c r="Q137" s="118"/>
      <c r="R137" s="118"/>
      <c r="S137" s="118"/>
      <c r="T137" s="118"/>
      <c r="U137" s="118"/>
      <c r="V137" s="118"/>
      <c r="W137" s="118"/>
      <c r="X137" s="118"/>
      <c r="Y137" s="118"/>
      <c r="Z137" s="118"/>
      <c r="AA137" s="118"/>
      <c r="AB137" s="85"/>
      <c r="AC137" s="84"/>
      <c r="AD137" s="124"/>
      <c r="AE137" s="75">
        <f t="shared" ca="1" si="8"/>
        <v>0</v>
      </c>
    </row>
    <row r="138" spans="1:31" x14ac:dyDescent="0.25">
      <c r="A138" s="27" t="s">
        <v>41</v>
      </c>
      <c r="B138" s="117"/>
      <c r="C138" s="118"/>
      <c r="D138" s="118"/>
      <c r="E138" s="118"/>
      <c r="F138" s="118"/>
      <c r="G138" s="118"/>
      <c r="H138" s="118"/>
      <c r="I138" s="118"/>
      <c r="J138" s="118"/>
      <c r="K138" s="118"/>
      <c r="L138" s="118"/>
      <c r="M138" s="118"/>
      <c r="N138" s="118"/>
      <c r="O138" s="118"/>
      <c r="P138" s="118"/>
      <c r="Q138" s="118"/>
      <c r="R138" s="118"/>
      <c r="S138" s="118"/>
      <c r="T138" s="118"/>
      <c r="U138" s="118"/>
      <c r="V138" s="118"/>
      <c r="W138" s="118"/>
      <c r="X138" s="118"/>
      <c r="Y138" s="118"/>
      <c r="Z138" s="118"/>
      <c r="AA138" s="118"/>
      <c r="AB138" s="114"/>
      <c r="AC138" s="84"/>
      <c r="AD138" s="123"/>
      <c r="AE138" s="75">
        <f t="shared" ca="1" si="8"/>
        <v>0</v>
      </c>
    </row>
    <row r="139" spans="1:31" x14ac:dyDescent="0.25">
      <c r="A139" s="27" t="s">
        <v>42</v>
      </c>
      <c r="B139" s="79"/>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5"/>
      <c r="AC139" s="84"/>
      <c r="AD139" s="120"/>
      <c r="AE139" s="75">
        <f t="shared" ca="1" si="8"/>
        <v>0</v>
      </c>
    </row>
    <row r="140" spans="1:31" x14ac:dyDescent="0.25">
      <c r="A140" s="45" t="s">
        <v>19</v>
      </c>
      <c r="B140" s="79"/>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5"/>
      <c r="AC140" s="84"/>
      <c r="AD140" s="120"/>
      <c r="AE140" s="75">
        <f t="shared" ca="1" si="8"/>
        <v>0</v>
      </c>
    </row>
    <row r="141" spans="1:31" x14ac:dyDescent="0.25">
      <c r="A141" s="45" t="s">
        <v>10</v>
      </c>
      <c r="B141" s="111"/>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90"/>
      <c r="AC141" s="91"/>
      <c r="AD141" s="120"/>
      <c r="AE141" s="75">
        <f t="shared" ca="1" si="8"/>
        <v>0</v>
      </c>
    </row>
    <row r="142" spans="1:31" x14ac:dyDescent="0.25">
      <c r="A142" s="45" t="s">
        <v>13</v>
      </c>
      <c r="B142" s="111"/>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90"/>
      <c r="AC142" s="91"/>
      <c r="AD142" s="125"/>
      <c r="AE142" s="75">
        <f t="shared" ca="1" si="8"/>
        <v>0</v>
      </c>
    </row>
    <row r="143" spans="1:31" ht="16.5" thickBot="1" x14ac:dyDescent="0.3">
      <c r="A143" s="46" t="s">
        <v>11</v>
      </c>
      <c r="B143" s="111"/>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90"/>
      <c r="AC143" s="91"/>
      <c r="AD143" s="125"/>
      <c r="AE143" s="75">
        <f t="shared" ca="1" si="8"/>
        <v>0</v>
      </c>
    </row>
    <row r="144" spans="1:31" ht="16.5" thickBot="1" x14ac:dyDescent="0.3">
      <c r="A144" s="119"/>
      <c r="B144" s="88"/>
      <c r="C144" s="89"/>
      <c r="D144" s="89"/>
      <c r="E144" s="89"/>
      <c r="F144" s="89"/>
      <c r="G144" s="89"/>
      <c r="H144" s="89"/>
      <c r="I144" s="89"/>
      <c r="J144" s="89"/>
      <c r="K144" s="89"/>
      <c r="L144" s="89"/>
      <c r="M144" s="89"/>
      <c r="N144" s="89"/>
      <c r="O144" s="89"/>
      <c r="P144" s="89"/>
      <c r="Q144" s="89"/>
      <c r="R144" s="89"/>
      <c r="S144" s="89"/>
      <c r="T144" s="89"/>
      <c r="U144" s="89"/>
      <c r="V144" s="89"/>
      <c r="W144" s="89"/>
      <c r="X144" s="89"/>
      <c r="Y144" s="89"/>
      <c r="Z144" s="89"/>
      <c r="AA144" s="89"/>
      <c r="AB144" s="113"/>
      <c r="AC144" s="122"/>
      <c r="AD144" s="121"/>
      <c r="AE144" s="75">
        <f t="shared" ca="1" si="8"/>
        <v>0</v>
      </c>
    </row>
    <row r="145" spans="1:31" ht="16.5" thickBot="1" x14ac:dyDescent="0.3">
      <c r="A145" s="76"/>
      <c r="B145" s="77">
        <f ca="1">nbColor(B119:B143)</f>
        <v>0</v>
      </c>
      <c r="C145" s="77">
        <f t="shared" ref="C145:AC145" ca="1" si="9">nbColor(C119:C143)</f>
        <v>0</v>
      </c>
      <c r="D145" s="77">
        <f ca="1">nbColor(D119:D143)</f>
        <v>0</v>
      </c>
      <c r="E145" s="77">
        <f t="shared" ca="1" si="9"/>
        <v>0</v>
      </c>
      <c r="F145" s="77">
        <f t="shared" ca="1" si="9"/>
        <v>0</v>
      </c>
      <c r="G145" s="77">
        <f t="shared" ca="1" si="9"/>
        <v>0</v>
      </c>
      <c r="H145" s="77">
        <f t="shared" ca="1" si="9"/>
        <v>0</v>
      </c>
      <c r="I145" s="77">
        <f t="shared" ca="1" si="9"/>
        <v>0</v>
      </c>
      <c r="J145" s="77">
        <f t="shared" ca="1" si="9"/>
        <v>0</v>
      </c>
      <c r="K145" s="77">
        <f t="shared" ca="1" si="9"/>
        <v>0</v>
      </c>
      <c r="L145" s="77">
        <f t="shared" ca="1" si="9"/>
        <v>0</v>
      </c>
      <c r="M145" s="77">
        <f t="shared" ca="1" si="9"/>
        <v>0</v>
      </c>
      <c r="N145" s="77">
        <f t="shared" ca="1" si="9"/>
        <v>0</v>
      </c>
      <c r="O145" s="77">
        <f t="shared" ca="1" si="9"/>
        <v>0</v>
      </c>
      <c r="P145" s="77">
        <f t="shared" ca="1" si="9"/>
        <v>0</v>
      </c>
      <c r="Q145" s="77">
        <f t="shared" ca="1" si="9"/>
        <v>0</v>
      </c>
      <c r="R145" s="77">
        <f t="shared" ca="1" si="9"/>
        <v>0</v>
      </c>
      <c r="S145" s="77">
        <f t="shared" ca="1" si="9"/>
        <v>0</v>
      </c>
      <c r="T145" s="77">
        <f t="shared" ca="1" si="9"/>
        <v>0</v>
      </c>
      <c r="U145" s="77">
        <f t="shared" ca="1" si="9"/>
        <v>0</v>
      </c>
      <c r="V145" s="77">
        <f t="shared" ca="1" si="9"/>
        <v>0</v>
      </c>
      <c r="W145" s="77">
        <f t="shared" ca="1" si="9"/>
        <v>0</v>
      </c>
      <c r="X145" s="77">
        <f t="shared" ca="1" si="9"/>
        <v>0</v>
      </c>
      <c r="Y145" s="77">
        <f t="shared" ca="1" si="9"/>
        <v>0</v>
      </c>
      <c r="Z145" s="77">
        <f t="shared" ca="1" si="9"/>
        <v>0</v>
      </c>
      <c r="AA145" s="77">
        <f t="shared" ca="1" si="9"/>
        <v>0</v>
      </c>
      <c r="AB145" s="77">
        <f t="shared" ca="1" si="9"/>
        <v>0</v>
      </c>
      <c r="AC145" s="77">
        <f t="shared" ca="1" si="9"/>
        <v>0</v>
      </c>
      <c r="AD145" s="116"/>
      <c r="AE145" s="78">
        <f ca="1">SUM(AE120:AE137)</f>
        <v>0</v>
      </c>
    </row>
    <row r="146" spans="1:31" x14ac:dyDescent="0.25">
      <c r="A146" s="48" t="s">
        <v>84</v>
      </c>
      <c r="B146" s="49" t="s">
        <v>46</v>
      </c>
      <c r="C146" s="50" t="s">
        <v>47</v>
      </c>
      <c r="D146" s="50" t="s">
        <v>48</v>
      </c>
      <c r="E146" s="50" t="s">
        <v>49</v>
      </c>
      <c r="F146" s="50" t="s">
        <v>50</v>
      </c>
      <c r="G146" s="51" t="s">
        <v>51</v>
      </c>
      <c r="H146" s="52" t="s">
        <v>52</v>
      </c>
      <c r="I146" s="53" t="s">
        <v>53</v>
      </c>
      <c r="J146" s="53" t="s">
        <v>54</v>
      </c>
      <c r="K146" s="54" t="s">
        <v>55</v>
      </c>
      <c r="L146" s="55" t="s">
        <v>56</v>
      </c>
      <c r="M146" s="56" t="s">
        <v>57</v>
      </c>
      <c r="N146" s="56" t="s">
        <v>58</v>
      </c>
      <c r="O146" s="57" t="s">
        <v>59</v>
      </c>
      <c r="P146" s="52" t="s">
        <v>60</v>
      </c>
      <c r="Q146" s="53" t="s">
        <v>61</v>
      </c>
      <c r="R146" s="53" t="s">
        <v>62</v>
      </c>
      <c r="S146" s="53" t="s">
        <v>63</v>
      </c>
      <c r="T146" s="53" t="s">
        <v>64</v>
      </c>
      <c r="U146" s="54" t="s">
        <v>65</v>
      </c>
      <c r="V146" s="55" t="s">
        <v>66</v>
      </c>
      <c r="W146" s="56" t="s">
        <v>67</v>
      </c>
      <c r="X146" s="56" t="s">
        <v>68</v>
      </c>
      <c r="Y146" s="56" t="s">
        <v>69</v>
      </c>
      <c r="Z146" s="56" t="s">
        <v>70</v>
      </c>
      <c r="AA146" s="57" t="s">
        <v>71</v>
      </c>
      <c r="AB146" s="58" t="s">
        <v>72</v>
      </c>
      <c r="AC146" s="59" t="s">
        <v>73</v>
      </c>
      <c r="AD146" s="140" t="s">
        <v>74</v>
      </c>
      <c r="AE146" s="60" t="s">
        <v>75</v>
      </c>
    </row>
    <row r="147" spans="1:31" ht="19.5" thickBot="1" x14ac:dyDescent="0.3">
      <c r="A147" s="61"/>
      <c r="B147" s="62" t="s">
        <v>47</v>
      </c>
      <c r="C147" s="63" t="s">
        <v>48</v>
      </c>
      <c r="D147" s="63" t="s">
        <v>49</v>
      </c>
      <c r="E147" s="63" t="s">
        <v>50</v>
      </c>
      <c r="F147" s="63" t="s">
        <v>51</v>
      </c>
      <c r="G147" s="64" t="s">
        <v>52</v>
      </c>
      <c r="H147" s="65" t="s">
        <v>53</v>
      </c>
      <c r="I147" s="66" t="s">
        <v>54</v>
      </c>
      <c r="J147" s="66" t="s">
        <v>55</v>
      </c>
      <c r="K147" s="67" t="s">
        <v>56</v>
      </c>
      <c r="L147" s="68" t="s">
        <v>57</v>
      </c>
      <c r="M147" s="69" t="s">
        <v>58</v>
      </c>
      <c r="N147" s="69" t="s">
        <v>59</v>
      </c>
      <c r="O147" s="70" t="s">
        <v>60</v>
      </c>
      <c r="P147" s="65" t="s">
        <v>61</v>
      </c>
      <c r="Q147" s="66" t="s">
        <v>62</v>
      </c>
      <c r="R147" s="66" t="s">
        <v>63</v>
      </c>
      <c r="S147" s="66" t="s">
        <v>64</v>
      </c>
      <c r="T147" s="66" t="s">
        <v>65</v>
      </c>
      <c r="U147" s="67" t="s">
        <v>66</v>
      </c>
      <c r="V147" s="68" t="s">
        <v>67</v>
      </c>
      <c r="W147" s="69" t="s">
        <v>68</v>
      </c>
      <c r="X147" s="69" t="s">
        <v>69</v>
      </c>
      <c r="Y147" s="69" t="s">
        <v>70</v>
      </c>
      <c r="Z147" s="69" t="s">
        <v>71</v>
      </c>
      <c r="AA147" s="70" t="s">
        <v>72</v>
      </c>
      <c r="AB147" s="71" t="s">
        <v>73</v>
      </c>
      <c r="AC147" s="72" t="s">
        <v>76</v>
      </c>
      <c r="AD147" s="141"/>
      <c r="AE147" s="73" t="s">
        <v>77</v>
      </c>
    </row>
    <row r="148" spans="1:31" x14ac:dyDescent="0.25">
      <c r="A148" s="44" t="s">
        <v>9</v>
      </c>
      <c r="B148" s="79"/>
      <c r="C148" s="80"/>
      <c r="D148" s="80"/>
      <c r="E148" s="80"/>
      <c r="F148" s="80"/>
      <c r="G148" s="80"/>
      <c r="H148" s="80"/>
      <c r="I148" s="80"/>
      <c r="J148" s="80"/>
      <c r="K148" s="80"/>
      <c r="L148" s="80"/>
      <c r="M148" s="80"/>
      <c r="N148" s="80"/>
      <c r="O148" s="80"/>
      <c r="P148" s="80"/>
      <c r="Q148" s="80"/>
      <c r="R148" s="80"/>
      <c r="S148" s="80"/>
      <c r="T148" s="81"/>
      <c r="U148" s="80"/>
      <c r="V148" s="80"/>
      <c r="W148" s="80"/>
      <c r="X148" s="80"/>
      <c r="Y148" s="80"/>
      <c r="Z148" s="80"/>
      <c r="AA148" s="80"/>
      <c r="AB148" s="80"/>
      <c r="AC148" s="82"/>
      <c r="AD148" s="83"/>
      <c r="AE148" s="74">
        <f ca="1">(nbColor(B148:AC148)/2)-AD148</f>
        <v>0</v>
      </c>
    </row>
    <row r="149" spans="1:31" x14ac:dyDescent="0.25">
      <c r="A149" s="22" t="s">
        <v>5</v>
      </c>
      <c r="B149" s="79"/>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4"/>
      <c r="AD149" s="83"/>
      <c r="AE149" s="75">
        <f t="shared" ref="AE149:AE173" ca="1" si="10">(nbColor(B149:AC149)/2)-AD149</f>
        <v>0</v>
      </c>
    </row>
    <row r="150" spans="1:31" x14ac:dyDescent="0.25">
      <c r="A150" s="23" t="s">
        <v>17</v>
      </c>
      <c r="B150" s="79"/>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4"/>
      <c r="AD150" s="83"/>
      <c r="AE150" s="75">
        <f t="shared" ca="1" si="10"/>
        <v>0</v>
      </c>
    </row>
    <row r="151" spans="1:31" x14ac:dyDescent="0.25">
      <c r="A151" s="23" t="s">
        <v>1</v>
      </c>
      <c r="B151" s="79"/>
      <c r="C151" s="80"/>
      <c r="D151" s="80"/>
      <c r="E151" s="80"/>
      <c r="F151" s="80"/>
      <c r="G151" s="80"/>
      <c r="H151" s="80"/>
      <c r="I151" s="80"/>
      <c r="J151" s="80"/>
      <c r="K151" s="80"/>
      <c r="L151" s="80"/>
      <c r="M151" s="80"/>
      <c r="N151" s="80"/>
      <c r="O151" s="80"/>
      <c r="P151" s="80"/>
      <c r="Q151" s="80"/>
      <c r="R151" s="80"/>
      <c r="S151" s="80"/>
      <c r="T151" s="80"/>
      <c r="U151" s="80"/>
      <c r="V151" s="80"/>
      <c r="W151" s="80"/>
      <c r="X151" s="80"/>
      <c r="Y151" s="80"/>
      <c r="Z151" s="80"/>
      <c r="AA151" s="80"/>
      <c r="AB151" s="85"/>
      <c r="AC151" s="84"/>
      <c r="AD151" s="83"/>
      <c r="AE151" s="75">
        <f t="shared" ca="1" si="10"/>
        <v>0</v>
      </c>
    </row>
    <row r="152" spans="1:31" x14ac:dyDescent="0.25">
      <c r="A152" s="24" t="s">
        <v>8</v>
      </c>
      <c r="B152" s="79"/>
      <c r="C152" s="80"/>
      <c r="D152" s="80"/>
      <c r="E152" s="80"/>
      <c r="F152" s="80"/>
      <c r="G152" s="80"/>
      <c r="H152" s="80"/>
      <c r="I152" s="80"/>
      <c r="J152" s="80"/>
      <c r="K152" s="80"/>
      <c r="L152" s="80"/>
      <c r="M152" s="80"/>
      <c r="N152" s="80"/>
      <c r="O152" s="80"/>
      <c r="P152" s="80"/>
      <c r="Q152" s="80"/>
      <c r="R152" s="80"/>
      <c r="S152" s="80"/>
      <c r="T152" s="80"/>
      <c r="U152" s="80"/>
      <c r="V152" s="80"/>
      <c r="W152" s="80"/>
      <c r="X152" s="80"/>
      <c r="Y152" s="80"/>
      <c r="Z152" s="80"/>
      <c r="AA152" s="80"/>
      <c r="AB152" s="85"/>
      <c r="AC152" s="84"/>
      <c r="AD152" s="83"/>
      <c r="AE152" s="75">
        <f t="shared" ca="1" si="10"/>
        <v>0</v>
      </c>
    </row>
    <row r="153" spans="1:31" x14ac:dyDescent="0.25">
      <c r="A153" s="24" t="s">
        <v>7</v>
      </c>
      <c r="B153" s="79"/>
      <c r="C153" s="80"/>
      <c r="D153" s="80"/>
      <c r="E153" s="80"/>
      <c r="F153" s="80"/>
      <c r="G153" s="80"/>
      <c r="H153" s="80"/>
      <c r="I153" s="80"/>
      <c r="J153" s="80"/>
      <c r="K153" s="80"/>
      <c r="L153" s="80"/>
      <c r="M153" s="80"/>
      <c r="N153" s="80"/>
      <c r="O153" s="80"/>
      <c r="P153" s="80"/>
      <c r="Q153" s="80"/>
      <c r="R153" s="80"/>
      <c r="S153" s="80"/>
      <c r="T153" s="80"/>
      <c r="U153" s="80"/>
      <c r="V153" s="80"/>
      <c r="W153" s="80"/>
      <c r="X153" s="80"/>
      <c r="Y153" s="80"/>
      <c r="Z153" s="80"/>
      <c r="AA153" s="80"/>
      <c r="AB153" s="85"/>
      <c r="AC153" s="84"/>
      <c r="AD153" s="83"/>
      <c r="AE153" s="75">
        <f t="shared" ca="1" si="10"/>
        <v>0</v>
      </c>
    </row>
    <row r="154" spans="1:31" x14ac:dyDescent="0.25">
      <c r="A154" s="25" t="s">
        <v>16</v>
      </c>
      <c r="B154" s="79"/>
      <c r="C154" s="81"/>
      <c r="D154" s="80"/>
      <c r="E154" s="80"/>
      <c r="F154" s="80"/>
      <c r="G154" s="80"/>
      <c r="H154" s="80"/>
      <c r="I154" s="80"/>
      <c r="J154" s="80"/>
      <c r="K154" s="80"/>
      <c r="L154" s="80"/>
      <c r="M154" s="80"/>
      <c r="N154" s="80"/>
      <c r="O154" s="80"/>
      <c r="P154" s="80"/>
      <c r="Q154" s="80"/>
      <c r="R154" s="80"/>
      <c r="S154" s="80"/>
      <c r="T154" s="80"/>
      <c r="U154" s="80"/>
      <c r="V154" s="80"/>
      <c r="W154" s="80"/>
      <c r="X154" s="80"/>
      <c r="Y154" s="80"/>
      <c r="Z154" s="80"/>
      <c r="AA154" s="80"/>
      <c r="AB154" s="80"/>
      <c r="AC154" s="82"/>
      <c r="AD154" s="83"/>
      <c r="AE154" s="75">
        <f t="shared" ca="1" si="10"/>
        <v>0</v>
      </c>
    </row>
    <row r="155" spans="1:31" x14ac:dyDescent="0.25">
      <c r="A155" s="25" t="s">
        <v>0</v>
      </c>
      <c r="B155" s="80"/>
      <c r="C155" s="80"/>
      <c r="D155" s="80"/>
      <c r="E155" s="80"/>
      <c r="F155" s="80"/>
      <c r="G155" s="80"/>
      <c r="H155" s="80"/>
      <c r="I155" s="80"/>
      <c r="J155" s="80"/>
      <c r="K155" s="80"/>
      <c r="L155" s="80"/>
      <c r="M155" s="80"/>
      <c r="N155" s="80"/>
      <c r="O155" s="80"/>
      <c r="P155" s="80"/>
      <c r="Q155" s="80"/>
      <c r="R155" s="80"/>
      <c r="S155" s="80"/>
      <c r="T155" s="80"/>
      <c r="U155" s="80"/>
      <c r="V155" s="80"/>
      <c r="W155" s="80"/>
      <c r="X155" s="80"/>
      <c r="Y155" s="80"/>
      <c r="Z155" s="80"/>
      <c r="AA155" s="80"/>
      <c r="AB155" s="80"/>
      <c r="AC155" s="82"/>
      <c r="AD155" s="83"/>
      <c r="AE155" s="75">
        <f t="shared" ca="1" si="10"/>
        <v>0</v>
      </c>
    </row>
    <row r="156" spans="1:31" x14ac:dyDescent="0.25">
      <c r="A156" s="26" t="s">
        <v>18</v>
      </c>
      <c r="B156" s="86"/>
      <c r="C156" s="80"/>
      <c r="D156" s="80"/>
      <c r="E156" s="80"/>
      <c r="F156" s="80"/>
      <c r="G156" s="87"/>
      <c r="H156" s="80"/>
      <c r="I156" s="80"/>
      <c r="J156" s="80"/>
      <c r="K156" s="80"/>
      <c r="L156" s="80"/>
      <c r="M156" s="80"/>
      <c r="N156" s="80"/>
      <c r="O156" s="80"/>
      <c r="P156" s="80"/>
      <c r="Q156" s="80"/>
      <c r="R156" s="80"/>
      <c r="S156" s="80"/>
      <c r="T156" s="80"/>
      <c r="U156" s="80"/>
      <c r="V156" s="80"/>
      <c r="W156" s="80"/>
      <c r="X156" s="80"/>
      <c r="Y156" s="80"/>
      <c r="Z156" s="80"/>
      <c r="AA156" s="80"/>
      <c r="AB156" s="80"/>
      <c r="AC156" s="82"/>
      <c r="AD156" s="83"/>
      <c r="AE156" s="75">
        <f t="shared" ca="1" si="10"/>
        <v>0</v>
      </c>
    </row>
    <row r="157" spans="1:31" x14ac:dyDescent="0.25">
      <c r="A157" s="26" t="s">
        <v>2</v>
      </c>
      <c r="B157" s="80"/>
      <c r="C157" s="80"/>
      <c r="D157" s="80"/>
      <c r="E157" s="80"/>
      <c r="F157" s="80"/>
      <c r="G157" s="80"/>
      <c r="H157" s="80"/>
      <c r="I157" s="80"/>
      <c r="J157" s="80"/>
      <c r="K157" s="80"/>
      <c r="L157" s="80"/>
      <c r="M157" s="80"/>
      <c r="N157" s="80"/>
      <c r="O157" s="80"/>
      <c r="P157" s="80"/>
      <c r="Q157" s="80"/>
      <c r="R157" s="80"/>
      <c r="S157" s="80"/>
      <c r="T157" s="80"/>
      <c r="U157" s="80"/>
      <c r="V157" s="80"/>
      <c r="W157" s="80"/>
      <c r="X157" s="80"/>
      <c r="Y157" s="80"/>
      <c r="Z157" s="80"/>
      <c r="AA157" s="80"/>
      <c r="AB157" s="85"/>
      <c r="AC157" s="84"/>
      <c r="AD157" s="83"/>
      <c r="AE157" s="75">
        <f t="shared" ca="1" si="10"/>
        <v>0</v>
      </c>
    </row>
    <row r="158" spans="1:31" x14ac:dyDescent="0.25">
      <c r="A158" s="27" t="s">
        <v>15</v>
      </c>
      <c r="B158" s="86"/>
      <c r="C158" s="80"/>
      <c r="D158" s="80"/>
      <c r="E158" s="80"/>
      <c r="F158" s="80"/>
      <c r="G158" s="87"/>
      <c r="H158" s="80"/>
      <c r="I158" s="80"/>
      <c r="J158" s="80"/>
      <c r="K158" s="80"/>
      <c r="L158" s="80"/>
      <c r="M158" s="80"/>
      <c r="N158" s="80"/>
      <c r="O158" s="80"/>
      <c r="P158" s="80"/>
      <c r="Q158" s="80"/>
      <c r="R158" s="80"/>
      <c r="S158" s="80"/>
      <c r="T158" s="80"/>
      <c r="U158" s="80"/>
      <c r="V158" s="80"/>
      <c r="W158" s="80"/>
      <c r="X158" s="80"/>
      <c r="Y158" s="80"/>
      <c r="Z158" s="80"/>
      <c r="AA158" s="80"/>
      <c r="AB158" s="80"/>
      <c r="AC158" s="84"/>
      <c r="AD158" s="83"/>
      <c r="AE158" s="75">
        <f t="shared" ca="1" si="10"/>
        <v>0</v>
      </c>
    </row>
    <row r="159" spans="1:31" x14ac:dyDescent="0.25">
      <c r="A159" s="27" t="s">
        <v>38</v>
      </c>
      <c r="B159" s="79"/>
      <c r="C159" s="80"/>
      <c r="D159" s="80"/>
      <c r="E159" s="80"/>
      <c r="F159" s="80"/>
      <c r="G159" s="80"/>
      <c r="H159" s="80"/>
      <c r="I159" s="80"/>
      <c r="J159" s="80"/>
      <c r="K159" s="80"/>
      <c r="L159" s="80"/>
      <c r="M159" s="80"/>
      <c r="N159" s="80"/>
      <c r="O159" s="80"/>
      <c r="P159" s="80"/>
      <c r="Q159" s="80"/>
      <c r="R159" s="80"/>
      <c r="S159" s="80"/>
      <c r="T159" s="80"/>
      <c r="U159" s="80"/>
      <c r="V159" s="80"/>
      <c r="W159" s="80"/>
      <c r="X159" s="80"/>
      <c r="Y159" s="80"/>
      <c r="Z159" s="80"/>
      <c r="AA159" s="80"/>
      <c r="AB159" s="80"/>
      <c r="AC159" s="84"/>
      <c r="AD159" s="83"/>
      <c r="AE159" s="75">
        <f t="shared" ca="1" si="10"/>
        <v>0</v>
      </c>
    </row>
    <row r="160" spans="1:31" x14ac:dyDescent="0.25">
      <c r="A160" s="27" t="s">
        <v>3</v>
      </c>
      <c r="B160" s="79"/>
      <c r="C160" s="80"/>
      <c r="D160" s="80"/>
      <c r="E160" s="80"/>
      <c r="F160" s="80"/>
      <c r="G160" s="80"/>
      <c r="H160" s="80"/>
      <c r="I160" s="80"/>
      <c r="J160" s="80"/>
      <c r="K160" s="80"/>
      <c r="L160" s="80"/>
      <c r="M160" s="80"/>
      <c r="N160" s="80"/>
      <c r="O160" s="80"/>
      <c r="P160" s="80"/>
      <c r="Q160" s="80"/>
      <c r="R160" s="80"/>
      <c r="S160" s="80"/>
      <c r="T160" s="80"/>
      <c r="U160" s="80"/>
      <c r="V160" s="80"/>
      <c r="W160" s="80"/>
      <c r="X160" s="80"/>
      <c r="Y160" s="80"/>
      <c r="Z160" s="80"/>
      <c r="AA160" s="80"/>
      <c r="AB160" s="80"/>
      <c r="AC160" s="84"/>
      <c r="AD160" s="83"/>
      <c r="AE160" s="75">
        <f t="shared" ca="1" si="10"/>
        <v>0</v>
      </c>
    </row>
    <row r="161" spans="1:31" x14ac:dyDescent="0.25">
      <c r="A161" s="27" t="s">
        <v>6</v>
      </c>
      <c r="B161" s="79"/>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c r="AA161" s="80"/>
      <c r="AB161" s="85"/>
      <c r="AC161" s="84"/>
      <c r="AD161" s="83"/>
      <c r="AE161" s="75">
        <f t="shared" ca="1" si="10"/>
        <v>0</v>
      </c>
    </row>
    <row r="162" spans="1:31" x14ac:dyDescent="0.25">
      <c r="A162" s="27" t="s">
        <v>39</v>
      </c>
      <c r="B162" s="79"/>
      <c r="C162" s="80"/>
      <c r="D162" s="80"/>
      <c r="E162" s="80"/>
      <c r="F162" s="80"/>
      <c r="G162" s="80"/>
      <c r="H162" s="80"/>
      <c r="I162" s="80"/>
      <c r="J162" s="80"/>
      <c r="K162" s="80"/>
      <c r="L162" s="80"/>
      <c r="M162" s="80"/>
      <c r="N162" s="80"/>
      <c r="O162" s="80"/>
      <c r="P162" s="80"/>
      <c r="Q162" s="80"/>
      <c r="R162" s="80"/>
      <c r="S162" s="80"/>
      <c r="T162" s="80"/>
      <c r="U162" s="80"/>
      <c r="V162" s="80"/>
      <c r="W162" s="80"/>
      <c r="X162" s="80"/>
      <c r="Y162" s="80"/>
      <c r="Z162" s="80"/>
      <c r="AA162" s="80"/>
      <c r="AB162" s="80"/>
      <c r="AC162" s="84"/>
      <c r="AD162" s="83"/>
      <c r="AE162" s="75">
        <f t="shared" ca="1" si="10"/>
        <v>0</v>
      </c>
    </row>
    <row r="163" spans="1:31" x14ac:dyDescent="0.25">
      <c r="A163" s="27" t="s">
        <v>12</v>
      </c>
      <c r="B163" s="79"/>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c r="AA163" s="80"/>
      <c r="AB163" s="80"/>
      <c r="AC163" s="84"/>
      <c r="AD163" s="83"/>
      <c r="AE163" s="75">
        <f t="shared" ca="1" si="10"/>
        <v>0</v>
      </c>
    </row>
    <row r="164" spans="1:31" x14ac:dyDescent="0.25">
      <c r="A164" s="27" t="s">
        <v>14</v>
      </c>
      <c r="B164" s="80"/>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c r="AA164" s="80"/>
      <c r="AB164" s="80"/>
      <c r="AC164" s="84"/>
      <c r="AD164" s="83"/>
      <c r="AE164" s="75">
        <f t="shared" ca="1" si="10"/>
        <v>0</v>
      </c>
    </row>
    <row r="165" spans="1:31" x14ac:dyDescent="0.25">
      <c r="A165" s="28" t="s">
        <v>4</v>
      </c>
      <c r="B165" s="118"/>
      <c r="C165" s="118"/>
      <c r="D165" s="118"/>
      <c r="E165" s="118"/>
      <c r="F165" s="118"/>
      <c r="G165" s="118"/>
      <c r="H165" s="118"/>
      <c r="I165" s="118"/>
      <c r="J165" s="118"/>
      <c r="K165" s="118"/>
      <c r="L165" s="118"/>
      <c r="M165" s="118"/>
      <c r="N165" s="118"/>
      <c r="O165" s="118"/>
      <c r="P165" s="118"/>
      <c r="Q165" s="118"/>
      <c r="R165" s="118"/>
      <c r="S165" s="118"/>
      <c r="T165" s="118"/>
      <c r="U165" s="118"/>
      <c r="V165" s="118"/>
      <c r="W165" s="118"/>
      <c r="X165" s="118"/>
      <c r="Y165" s="118"/>
      <c r="Z165" s="118"/>
      <c r="AA165" s="118"/>
      <c r="AB165" s="85"/>
      <c r="AC165" s="84"/>
      <c r="AD165" s="83"/>
      <c r="AE165" s="75">
        <f t="shared" ca="1" si="10"/>
        <v>0</v>
      </c>
    </row>
    <row r="166" spans="1:31" x14ac:dyDescent="0.25">
      <c r="A166" s="27" t="s">
        <v>40</v>
      </c>
      <c r="B166" s="115"/>
      <c r="C166" s="118"/>
      <c r="D166" s="118"/>
      <c r="E166" s="118"/>
      <c r="F166" s="118"/>
      <c r="G166" s="118"/>
      <c r="H166" s="118"/>
      <c r="I166" s="118"/>
      <c r="J166" s="118"/>
      <c r="K166" s="118"/>
      <c r="L166" s="118"/>
      <c r="M166" s="118"/>
      <c r="N166" s="118"/>
      <c r="O166" s="118"/>
      <c r="P166" s="118"/>
      <c r="Q166" s="118"/>
      <c r="R166" s="118"/>
      <c r="S166" s="118"/>
      <c r="T166" s="118"/>
      <c r="U166" s="118"/>
      <c r="V166" s="118"/>
      <c r="W166" s="118"/>
      <c r="X166" s="118"/>
      <c r="Y166" s="118"/>
      <c r="Z166" s="118"/>
      <c r="AA166" s="118"/>
      <c r="AB166" s="85"/>
      <c r="AC166" s="84"/>
      <c r="AD166" s="124"/>
      <c r="AE166" s="75">
        <f t="shared" ca="1" si="10"/>
        <v>0</v>
      </c>
    </row>
    <row r="167" spans="1:31" x14ac:dyDescent="0.25">
      <c r="A167" s="27" t="s">
        <v>41</v>
      </c>
      <c r="B167" s="117"/>
      <c r="C167" s="118"/>
      <c r="D167" s="118"/>
      <c r="E167" s="118"/>
      <c r="F167" s="118"/>
      <c r="G167" s="118"/>
      <c r="H167" s="118"/>
      <c r="I167" s="118"/>
      <c r="J167" s="118"/>
      <c r="K167" s="118"/>
      <c r="L167" s="118"/>
      <c r="M167" s="118"/>
      <c r="N167" s="118"/>
      <c r="O167" s="118"/>
      <c r="P167" s="118"/>
      <c r="Q167" s="118"/>
      <c r="R167" s="118"/>
      <c r="S167" s="118"/>
      <c r="T167" s="118"/>
      <c r="U167" s="118"/>
      <c r="V167" s="118"/>
      <c r="W167" s="118"/>
      <c r="X167" s="118"/>
      <c r="Y167" s="118"/>
      <c r="Z167" s="118"/>
      <c r="AA167" s="118"/>
      <c r="AB167" s="114"/>
      <c r="AC167" s="84"/>
      <c r="AD167" s="123"/>
      <c r="AE167" s="75">
        <f t="shared" ca="1" si="10"/>
        <v>0</v>
      </c>
    </row>
    <row r="168" spans="1:31" x14ac:dyDescent="0.25">
      <c r="A168" s="27" t="s">
        <v>42</v>
      </c>
      <c r="B168" s="79"/>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c r="AA168" s="80"/>
      <c r="AB168" s="85"/>
      <c r="AC168" s="84"/>
      <c r="AD168" s="120"/>
      <c r="AE168" s="75">
        <f t="shared" ca="1" si="10"/>
        <v>0</v>
      </c>
    </row>
    <row r="169" spans="1:31" x14ac:dyDescent="0.25">
      <c r="A169" s="45" t="s">
        <v>19</v>
      </c>
      <c r="B169" s="79"/>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c r="AA169" s="80"/>
      <c r="AB169" s="85"/>
      <c r="AC169" s="84"/>
      <c r="AD169" s="120"/>
      <c r="AE169" s="75">
        <f t="shared" ca="1" si="10"/>
        <v>0</v>
      </c>
    </row>
    <row r="170" spans="1:31" x14ac:dyDescent="0.25">
      <c r="A170" s="45" t="s">
        <v>10</v>
      </c>
      <c r="B170" s="111"/>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90"/>
      <c r="AC170" s="91"/>
      <c r="AD170" s="120"/>
      <c r="AE170" s="75">
        <f t="shared" ca="1" si="10"/>
        <v>0</v>
      </c>
    </row>
    <row r="171" spans="1:31" x14ac:dyDescent="0.25">
      <c r="A171" s="45" t="s">
        <v>13</v>
      </c>
      <c r="B171" s="111"/>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90"/>
      <c r="AC171" s="91"/>
      <c r="AD171" s="125"/>
      <c r="AE171" s="75">
        <f t="shared" ca="1" si="10"/>
        <v>0</v>
      </c>
    </row>
    <row r="172" spans="1:31" ht="16.5" thickBot="1" x14ac:dyDescent="0.3">
      <c r="A172" s="46" t="s">
        <v>11</v>
      </c>
      <c r="B172" s="111"/>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90"/>
      <c r="AC172" s="91"/>
      <c r="AD172" s="125"/>
      <c r="AE172" s="75">
        <f t="shared" ca="1" si="10"/>
        <v>0</v>
      </c>
    </row>
    <row r="173" spans="1:31" ht="16.5" thickBot="1" x14ac:dyDescent="0.3">
      <c r="A173" s="119"/>
      <c r="B173" s="88"/>
      <c r="C173" s="89"/>
      <c r="D173" s="89"/>
      <c r="E173" s="89"/>
      <c r="F173" s="89"/>
      <c r="G173" s="89"/>
      <c r="H173" s="89"/>
      <c r="I173" s="89"/>
      <c r="J173" s="89"/>
      <c r="K173" s="89"/>
      <c r="L173" s="89"/>
      <c r="M173" s="89"/>
      <c r="N173" s="89"/>
      <c r="O173" s="89"/>
      <c r="P173" s="89"/>
      <c r="Q173" s="89"/>
      <c r="R173" s="89"/>
      <c r="S173" s="89"/>
      <c r="T173" s="89"/>
      <c r="U173" s="89"/>
      <c r="V173" s="89"/>
      <c r="W173" s="89"/>
      <c r="X173" s="89"/>
      <c r="Y173" s="89"/>
      <c r="Z173" s="89"/>
      <c r="AA173" s="89"/>
      <c r="AB173" s="113"/>
      <c r="AC173" s="122"/>
      <c r="AD173" s="121"/>
      <c r="AE173" s="75">
        <f t="shared" ca="1" si="10"/>
        <v>0</v>
      </c>
    </row>
    <row r="174" spans="1:31" ht="16.5" thickBot="1" x14ac:dyDescent="0.3">
      <c r="A174" s="76"/>
      <c r="B174" s="77">
        <f ca="1">nbColor(B148:B172)</f>
        <v>0</v>
      </c>
      <c r="C174" s="77">
        <f t="shared" ref="C174:AC174" ca="1" si="11">nbColor(C148:C172)</f>
        <v>0</v>
      </c>
      <c r="D174" s="77">
        <f t="shared" ca="1" si="11"/>
        <v>0</v>
      </c>
      <c r="E174" s="77">
        <f t="shared" ca="1" si="11"/>
        <v>0</v>
      </c>
      <c r="F174" s="77">
        <f t="shared" ca="1" si="11"/>
        <v>0</v>
      </c>
      <c r="G174" s="77">
        <f t="shared" ca="1" si="11"/>
        <v>0</v>
      </c>
      <c r="H174" s="77">
        <f t="shared" ca="1" si="11"/>
        <v>0</v>
      </c>
      <c r="I174" s="77">
        <f t="shared" ca="1" si="11"/>
        <v>0</v>
      </c>
      <c r="J174" s="77">
        <f t="shared" ca="1" si="11"/>
        <v>0</v>
      </c>
      <c r="K174" s="77">
        <f t="shared" ca="1" si="11"/>
        <v>0</v>
      </c>
      <c r="L174" s="77">
        <f t="shared" ca="1" si="11"/>
        <v>0</v>
      </c>
      <c r="M174" s="77">
        <f t="shared" ca="1" si="11"/>
        <v>0</v>
      </c>
      <c r="N174" s="77">
        <f t="shared" ca="1" si="11"/>
        <v>0</v>
      </c>
      <c r="O174" s="77">
        <f t="shared" ca="1" si="11"/>
        <v>0</v>
      </c>
      <c r="P174" s="77">
        <f t="shared" ca="1" si="11"/>
        <v>0</v>
      </c>
      <c r="Q174" s="77">
        <f t="shared" ca="1" si="11"/>
        <v>0</v>
      </c>
      <c r="R174" s="77">
        <f t="shared" ca="1" si="11"/>
        <v>0</v>
      </c>
      <c r="S174" s="77">
        <f t="shared" ca="1" si="11"/>
        <v>0</v>
      </c>
      <c r="T174" s="77">
        <f t="shared" ca="1" si="11"/>
        <v>0</v>
      </c>
      <c r="U174" s="77">
        <f t="shared" ca="1" si="11"/>
        <v>0</v>
      </c>
      <c r="V174" s="77">
        <f t="shared" ca="1" si="11"/>
        <v>0</v>
      </c>
      <c r="W174" s="77">
        <f t="shared" ca="1" si="11"/>
        <v>0</v>
      </c>
      <c r="X174" s="77">
        <f t="shared" ca="1" si="11"/>
        <v>0</v>
      </c>
      <c r="Y174" s="77">
        <f t="shared" ca="1" si="11"/>
        <v>0</v>
      </c>
      <c r="Z174" s="77">
        <f t="shared" ca="1" si="11"/>
        <v>0</v>
      </c>
      <c r="AA174" s="77">
        <f t="shared" ca="1" si="11"/>
        <v>0</v>
      </c>
      <c r="AB174" s="77">
        <f t="shared" ca="1" si="11"/>
        <v>0</v>
      </c>
      <c r="AC174" s="77">
        <f t="shared" ca="1" si="11"/>
        <v>0</v>
      </c>
      <c r="AD174" s="116"/>
      <c r="AE174" s="78">
        <f ca="1">SUM(AE149:AE166)</f>
        <v>0</v>
      </c>
    </row>
    <row r="175" spans="1:31" x14ac:dyDescent="0.25">
      <c r="A175" s="48" t="s">
        <v>85</v>
      </c>
      <c r="B175" s="49" t="s">
        <v>46</v>
      </c>
      <c r="C175" s="50" t="s">
        <v>47</v>
      </c>
      <c r="D175" s="50" t="s">
        <v>48</v>
      </c>
      <c r="E175" s="50" t="s">
        <v>49</v>
      </c>
      <c r="F175" s="50" t="s">
        <v>50</v>
      </c>
      <c r="G175" s="51" t="s">
        <v>51</v>
      </c>
      <c r="H175" s="52" t="s">
        <v>52</v>
      </c>
      <c r="I175" s="53" t="s">
        <v>53</v>
      </c>
      <c r="J175" s="53" t="s">
        <v>54</v>
      </c>
      <c r="K175" s="54" t="s">
        <v>55</v>
      </c>
      <c r="L175" s="55" t="s">
        <v>56</v>
      </c>
      <c r="M175" s="56" t="s">
        <v>57</v>
      </c>
      <c r="N175" s="56" t="s">
        <v>58</v>
      </c>
      <c r="O175" s="57" t="s">
        <v>59</v>
      </c>
      <c r="P175" s="52" t="s">
        <v>60</v>
      </c>
      <c r="Q175" s="53" t="s">
        <v>61</v>
      </c>
      <c r="R175" s="53" t="s">
        <v>62</v>
      </c>
      <c r="S175" s="53" t="s">
        <v>63</v>
      </c>
      <c r="T175" s="53" t="s">
        <v>64</v>
      </c>
      <c r="U175" s="54" t="s">
        <v>65</v>
      </c>
      <c r="V175" s="55" t="s">
        <v>66</v>
      </c>
      <c r="W175" s="56" t="s">
        <v>67</v>
      </c>
      <c r="X175" s="56" t="s">
        <v>68</v>
      </c>
      <c r="Y175" s="56" t="s">
        <v>69</v>
      </c>
      <c r="Z175" s="56" t="s">
        <v>70</v>
      </c>
      <c r="AA175" s="57" t="s">
        <v>71</v>
      </c>
      <c r="AB175" s="58" t="s">
        <v>72</v>
      </c>
      <c r="AC175" s="59" t="s">
        <v>73</v>
      </c>
      <c r="AD175" s="140" t="s">
        <v>74</v>
      </c>
      <c r="AE175" s="60" t="s">
        <v>75</v>
      </c>
    </row>
    <row r="176" spans="1:31" ht="19.5" thickBot="1" x14ac:dyDescent="0.3">
      <c r="A176" s="61"/>
      <c r="B176" s="62" t="s">
        <v>47</v>
      </c>
      <c r="C176" s="63" t="s">
        <v>48</v>
      </c>
      <c r="D176" s="63" t="s">
        <v>49</v>
      </c>
      <c r="E176" s="63" t="s">
        <v>50</v>
      </c>
      <c r="F176" s="63" t="s">
        <v>51</v>
      </c>
      <c r="G176" s="64" t="s">
        <v>52</v>
      </c>
      <c r="H176" s="65" t="s">
        <v>53</v>
      </c>
      <c r="I176" s="66" t="s">
        <v>54</v>
      </c>
      <c r="J176" s="66" t="s">
        <v>55</v>
      </c>
      <c r="K176" s="67" t="s">
        <v>56</v>
      </c>
      <c r="L176" s="68" t="s">
        <v>57</v>
      </c>
      <c r="M176" s="69" t="s">
        <v>58</v>
      </c>
      <c r="N176" s="69" t="s">
        <v>59</v>
      </c>
      <c r="O176" s="70" t="s">
        <v>60</v>
      </c>
      <c r="P176" s="65" t="s">
        <v>61</v>
      </c>
      <c r="Q176" s="66" t="s">
        <v>62</v>
      </c>
      <c r="R176" s="66" t="s">
        <v>63</v>
      </c>
      <c r="S176" s="66" t="s">
        <v>64</v>
      </c>
      <c r="T176" s="66" t="s">
        <v>65</v>
      </c>
      <c r="U176" s="67" t="s">
        <v>66</v>
      </c>
      <c r="V176" s="68" t="s">
        <v>67</v>
      </c>
      <c r="W176" s="69" t="s">
        <v>68</v>
      </c>
      <c r="X176" s="69" t="s">
        <v>69</v>
      </c>
      <c r="Y176" s="69" t="s">
        <v>70</v>
      </c>
      <c r="Z176" s="69" t="s">
        <v>71</v>
      </c>
      <c r="AA176" s="70" t="s">
        <v>72</v>
      </c>
      <c r="AB176" s="71" t="s">
        <v>73</v>
      </c>
      <c r="AC176" s="72" t="s">
        <v>76</v>
      </c>
      <c r="AD176" s="141"/>
      <c r="AE176" s="73" t="s">
        <v>77</v>
      </c>
    </row>
    <row r="177" spans="1:31" x14ac:dyDescent="0.25">
      <c r="A177" s="44" t="s">
        <v>9</v>
      </c>
      <c r="B177" s="79"/>
      <c r="C177" s="80"/>
      <c r="D177" s="80"/>
      <c r="E177" s="80"/>
      <c r="F177" s="80"/>
      <c r="G177" s="80"/>
      <c r="H177" s="80"/>
      <c r="I177" s="80"/>
      <c r="J177" s="80"/>
      <c r="K177" s="80"/>
      <c r="L177" s="80"/>
      <c r="M177" s="80"/>
      <c r="N177" s="80"/>
      <c r="O177" s="80"/>
      <c r="P177" s="80"/>
      <c r="Q177" s="80"/>
      <c r="R177" s="80"/>
      <c r="S177" s="80"/>
      <c r="T177" s="81"/>
      <c r="U177" s="80"/>
      <c r="V177" s="80"/>
      <c r="W177" s="80"/>
      <c r="X177" s="80"/>
      <c r="Y177" s="80"/>
      <c r="Z177" s="80"/>
      <c r="AA177" s="80"/>
      <c r="AB177" s="80"/>
      <c r="AC177" s="82"/>
      <c r="AD177" s="83"/>
      <c r="AE177" s="74">
        <f ca="1">(nbColor(B177:AC177)/2)-AD177</f>
        <v>0</v>
      </c>
    </row>
    <row r="178" spans="1:31" x14ac:dyDescent="0.25">
      <c r="A178" s="22" t="s">
        <v>5</v>
      </c>
      <c r="B178" s="79"/>
      <c r="C178" s="80"/>
      <c r="D178" s="80"/>
      <c r="E178" s="80"/>
      <c r="F178" s="80"/>
      <c r="G178" s="80"/>
      <c r="H178" s="80"/>
      <c r="I178" s="80"/>
      <c r="J178" s="80"/>
      <c r="K178" s="80"/>
      <c r="L178" s="80"/>
      <c r="M178" s="80"/>
      <c r="N178" s="80"/>
      <c r="O178" s="80"/>
      <c r="P178" s="80"/>
      <c r="Q178" s="80"/>
      <c r="R178" s="80"/>
      <c r="S178" s="80"/>
      <c r="T178" s="80"/>
      <c r="U178" s="80"/>
      <c r="V178" s="80"/>
      <c r="W178" s="80"/>
      <c r="X178" s="80"/>
      <c r="Y178" s="80"/>
      <c r="Z178" s="80"/>
      <c r="AA178" s="80"/>
      <c r="AB178" s="80"/>
      <c r="AC178" s="84"/>
      <c r="AD178" s="83"/>
      <c r="AE178" s="75">
        <f t="shared" ref="AE178:AE202" ca="1" si="12">(nbColor(B178:AC178)/2)-AD178</f>
        <v>0</v>
      </c>
    </row>
    <row r="179" spans="1:31" x14ac:dyDescent="0.25">
      <c r="A179" s="23" t="s">
        <v>17</v>
      </c>
      <c r="B179" s="79"/>
      <c r="C179" s="80"/>
      <c r="D179" s="80"/>
      <c r="E179" s="80"/>
      <c r="F179" s="80"/>
      <c r="G179" s="80"/>
      <c r="H179" s="80"/>
      <c r="I179" s="80"/>
      <c r="J179" s="80"/>
      <c r="K179" s="80"/>
      <c r="L179" s="80"/>
      <c r="M179" s="80"/>
      <c r="N179" s="80"/>
      <c r="O179" s="80"/>
      <c r="P179" s="80"/>
      <c r="Q179" s="80"/>
      <c r="R179" s="80"/>
      <c r="S179" s="80"/>
      <c r="T179" s="80"/>
      <c r="U179" s="80"/>
      <c r="V179" s="80"/>
      <c r="W179" s="80"/>
      <c r="X179" s="80"/>
      <c r="Y179" s="80"/>
      <c r="Z179" s="80"/>
      <c r="AA179" s="80"/>
      <c r="AB179" s="80"/>
      <c r="AC179" s="84"/>
      <c r="AD179" s="83"/>
      <c r="AE179" s="75">
        <f t="shared" ca="1" si="12"/>
        <v>0</v>
      </c>
    </row>
    <row r="180" spans="1:31" x14ac:dyDescent="0.25">
      <c r="A180" s="23" t="s">
        <v>1</v>
      </c>
      <c r="B180" s="79"/>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5"/>
      <c r="AC180" s="84"/>
      <c r="AD180" s="83"/>
      <c r="AE180" s="75">
        <f t="shared" ca="1" si="12"/>
        <v>0</v>
      </c>
    </row>
    <row r="181" spans="1:31" x14ac:dyDescent="0.25">
      <c r="A181" s="24" t="s">
        <v>8</v>
      </c>
      <c r="B181" s="79"/>
      <c r="C181" s="80"/>
      <c r="D181" s="80"/>
      <c r="E181" s="80"/>
      <c r="F181" s="80"/>
      <c r="G181" s="80"/>
      <c r="H181" s="80"/>
      <c r="I181" s="80"/>
      <c r="J181" s="80"/>
      <c r="K181" s="80"/>
      <c r="L181" s="80"/>
      <c r="M181" s="80"/>
      <c r="N181" s="80"/>
      <c r="O181" s="80"/>
      <c r="P181" s="80"/>
      <c r="Q181" s="80"/>
      <c r="R181" s="80"/>
      <c r="S181" s="80"/>
      <c r="T181" s="80"/>
      <c r="U181" s="80"/>
      <c r="V181" s="80"/>
      <c r="W181" s="80"/>
      <c r="X181" s="80"/>
      <c r="Y181" s="80"/>
      <c r="Z181" s="80"/>
      <c r="AA181" s="80"/>
      <c r="AB181" s="85"/>
      <c r="AC181" s="84"/>
      <c r="AD181" s="83"/>
      <c r="AE181" s="75">
        <f t="shared" ca="1" si="12"/>
        <v>0</v>
      </c>
    </row>
    <row r="182" spans="1:31" x14ac:dyDescent="0.25">
      <c r="A182" s="24" t="s">
        <v>7</v>
      </c>
      <c r="B182" s="79"/>
      <c r="C182" s="80"/>
      <c r="D182" s="80"/>
      <c r="E182" s="80"/>
      <c r="F182" s="80"/>
      <c r="G182" s="80"/>
      <c r="H182" s="80"/>
      <c r="I182" s="80"/>
      <c r="J182" s="80"/>
      <c r="K182" s="80"/>
      <c r="L182" s="80"/>
      <c r="M182" s="80"/>
      <c r="N182" s="80"/>
      <c r="O182" s="80"/>
      <c r="P182" s="80"/>
      <c r="Q182" s="80"/>
      <c r="R182" s="80"/>
      <c r="S182" s="80"/>
      <c r="T182" s="80"/>
      <c r="U182" s="80"/>
      <c r="V182" s="80"/>
      <c r="W182" s="80"/>
      <c r="X182" s="80"/>
      <c r="Y182" s="80"/>
      <c r="Z182" s="80"/>
      <c r="AA182" s="80"/>
      <c r="AB182" s="85"/>
      <c r="AC182" s="84"/>
      <c r="AD182" s="83"/>
      <c r="AE182" s="75">
        <f t="shared" ca="1" si="12"/>
        <v>0</v>
      </c>
    </row>
    <row r="183" spans="1:31" x14ac:dyDescent="0.25">
      <c r="A183" s="25" t="s">
        <v>16</v>
      </c>
      <c r="B183" s="79"/>
      <c r="C183" s="81"/>
      <c r="D183" s="80"/>
      <c r="E183" s="80"/>
      <c r="F183" s="80"/>
      <c r="G183" s="80"/>
      <c r="H183" s="80"/>
      <c r="I183" s="80"/>
      <c r="J183" s="80"/>
      <c r="K183" s="80"/>
      <c r="L183" s="80"/>
      <c r="M183" s="80"/>
      <c r="N183" s="80"/>
      <c r="O183" s="80"/>
      <c r="P183" s="80"/>
      <c r="Q183" s="80"/>
      <c r="R183" s="80"/>
      <c r="S183" s="80"/>
      <c r="T183" s="80"/>
      <c r="U183" s="80"/>
      <c r="V183" s="80"/>
      <c r="W183" s="80"/>
      <c r="X183" s="80"/>
      <c r="Y183" s="80"/>
      <c r="Z183" s="80"/>
      <c r="AA183" s="80"/>
      <c r="AB183" s="80"/>
      <c r="AC183" s="82"/>
      <c r="AD183" s="83"/>
      <c r="AE183" s="75">
        <f t="shared" ca="1" si="12"/>
        <v>0</v>
      </c>
    </row>
    <row r="184" spans="1:31" x14ac:dyDescent="0.25">
      <c r="A184" s="25" t="s">
        <v>0</v>
      </c>
      <c r="B184" s="80"/>
      <c r="C184" s="80"/>
      <c r="D184" s="80"/>
      <c r="E184" s="80"/>
      <c r="F184" s="80"/>
      <c r="G184" s="80"/>
      <c r="H184" s="80"/>
      <c r="I184" s="80"/>
      <c r="J184" s="80"/>
      <c r="K184" s="80"/>
      <c r="L184" s="80"/>
      <c r="M184" s="80"/>
      <c r="N184" s="80"/>
      <c r="O184" s="80"/>
      <c r="P184" s="80"/>
      <c r="Q184" s="80"/>
      <c r="R184" s="80"/>
      <c r="S184" s="80"/>
      <c r="T184" s="80"/>
      <c r="U184" s="80"/>
      <c r="V184" s="80"/>
      <c r="W184" s="80"/>
      <c r="X184" s="80"/>
      <c r="Y184" s="80"/>
      <c r="Z184" s="80"/>
      <c r="AA184" s="80"/>
      <c r="AB184" s="80"/>
      <c r="AC184" s="82"/>
      <c r="AD184" s="83"/>
      <c r="AE184" s="75">
        <f t="shared" ca="1" si="12"/>
        <v>0</v>
      </c>
    </row>
    <row r="185" spans="1:31" x14ac:dyDescent="0.25">
      <c r="A185" s="26" t="s">
        <v>18</v>
      </c>
      <c r="B185" s="86"/>
      <c r="C185" s="80"/>
      <c r="D185" s="80"/>
      <c r="E185" s="80"/>
      <c r="F185" s="80"/>
      <c r="G185" s="87"/>
      <c r="H185" s="80"/>
      <c r="I185" s="80"/>
      <c r="J185" s="80"/>
      <c r="K185" s="80"/>
      <c r="L185" s="80"/>
      <c r="M185" s="80"/>
      <c r="N185" s="80"/>
      <c r="O185" s="80"/>
      <c r="P185" s="80"/>
      <c r="Q185" s="80"/>
      <c r="R185" s="80"/>
      <c r="S185" s="80"/>
      <c r="T185" s="80"/>
      <c r="U185" s="80"/>
      <c r="V185" s="80"/>
      <c r="W185" s="80"/>
      <c r="X185" s="80"/>
      <c r="Y185" s="80"/>
      <c r="Z185" s="80"/>
      <c r="AA185" s="80"/>
      <c r="AB185" s="80"/>
      <c r="AC185" s="82"/>
      <c r="AD185" s="83"/>
      <c r="AE185" s="75">
        <f t="shared" ca="1" si="12"/>
        <v>0</v>
      </c>
    </row>
    <row r="186" spans="1:31" x14ac:dyDescent="0.25">
      <c r="A186" s="26" t="s">
        <v>2</v>
      </c>
      <c r="B186" s="80"/>
      <c r="C186" s="80"/>
      <c r="D186" s="80"/>
      <c r="E186" s="80"/>
      <c r="F186" s="80"/>
      <c r="G186" s="80"/>
      <c r="H186" s="80"/>
      <c r="I186" s="80"/>
      <c r="J186" s="80"/>
      <c r="K186" s="80"/>
      <c r="L186" s="80"/>
      <c r="M186" s="80"/>
      <c r="N186" s="80"/>
      <c r="O186" s="80"/>
      <c r="P186" s="80"/>
      <c r="Q186" s="80"/>
      <c r="R186" s="80"/>
      <c r="S186" s="80"/>
      <c r="T186" s="80"/>
      <c r="U186" s="80"/>
      <c r="V186" s="80"/>
      <c r="W186" s="80"/>
      <c r="X186" s="80"/>
      <c r="Y186" s="80"/>
      <c r="Z186" s="80"/>
      <c r="AA186" s="80"/>
      <c r="AB186" s="85"/>
      <c r="AC186" s="84"/>
      <c r="AD186" s="83"/>
      <c r="AE186" s="75">
        <f t="shared" ca="1" si="12"/>
        <v>0</v>
      </c>
    </row>
    <row r="187" spans="1:31" x14ac:dyDescent="0.25">
      <c r="A187" s="27" t="s">
        <v>15</v>
      </c>
      <c r="B187" s="86"/>
      <c r="C187" s="80"/>
      <c r="D187" s="80"/>
      <c r="E187" s="80"/>
      <c r="F187" s="80"/>
      <c r="G187" s="87"/>
      <c r="H187" s="80"/>
      <c r="I187" s="80"/>
      <c r="J187" s="80"/>
      <c r="K187" s="80"/>
      <c r="L187" s="80"/>
      <c r="M187" s="80"/>
      <c r="N187" s="80"/>
      <c r="O187" s="80"/>
      <c r="P187" s="80"/>
      <c r="Q187" s="80"/>
      <c r="R187" s="80"/>
      <c r="S187" s="80"/>
      <c r="T187" s="80"/>
      <c r="U187" s="80"/>
      <c r="V187" s="80"/>
      <c r="W187" s="80"/>
      <c r="X187" s="80"/>
      <c r="Y187" s="80"/>
      <c r="Z187" s="80"/>
      <c r="AA187" s="80"/>
      <c r="AB187" s="80"/>
      <c r="AC187" s="84"/>
      <c r="AD187" s="83"/>
      <c r="AE187" s="75">
        <f t="shared" ca="1" si="12"/>
        <v>0</v>
      </c>
    </row>
    <row r="188" spans="1:31" x14ac:dyDescent="0.25">
      <c r="A188" s="27" t="s">
        <v>38</v>
      </c>
      <c r="B188" s="79"/>
      <c r="C188" s="80"/>
      <c r="D188" s="80"/>
      <c r="E188" s="80"/>
      <c r="F188" s="80"/>
      <c r="G188" s="80"/>
      <c r="H188" s="80"/>
      <c r="I188" s="80"/>
      <c r="J188" s="80"/>
      <c r="K188" s="80"/>
      <c r="L188" s="80"/>
      <c r="M188" s="80"/>
      <c r="N188" s="80"/>
      <c r="O188" s="80"/>
      <c r="P188" s="80"/>
      <c r="Q188" s="80"/>
      <c r="R188" s="80"/>
      <c r="S188" s="80"/>
      <c r="T188" s="80"/>
      <c r="U188" s="80"/>
      <c r="V188" s="80"/>
      <c r="W188" s="80"/>
      <c r="X188" s="80"/>
      <c r="Y188" s="80"/>
      <c r="Z188" s="80"/>
      <c r="AA188" s="80"/>
      <c r="AB188" s="80"/>
      <c r="AC188" s="84"/>
      <c r="AD188" s="83"/>
      <c r="AE188" s="75">
        <f t="shared" ca="1" si="12"/>
        <v>0</v>
      </c>
    </row>
    <row r="189" spans="1:31" x14ac:dyDescent="0.25">
      <c r="A189" s="27" t="s">
        <v>3</v>
      </c>
      <c r="B189" s="79"/>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c r="AA189" s="80"/>
      <c r="AB189" s="80"/>
      <c r="AC189" s="84"/>
      <c r="AD189" s="83"/>
      <c r="AE189" s="75">
        <f t="shared" ca="1" si="12"/>
        <v>0</v>
      </c>
    </row>
    <row r="190" spans="1:31" x14ac:dyDescent="0.25">
      <c r="A190" s="27" t="s">
        <v>6</v>
      </c>
      <c r="B190" s="79"/>
      <c r="C190" s="80"/>
      <c r="D190" s="80"/>
      <c r="E190" s="80"/>
      <c r="F190" s="80"/>
      <c r="G190" s="80"/>
      <c r="H190" s="80"/>
      <c r="I190" s="80"/>
      <c r="J190" s="80"/>
      <c r="K190" s="80"/>
      <c r="L190" s="80"/>
      <c r="M190" s="80"/>
      <c r="N190" s="80"/>
      <c r="O190" s="80"/>
      <c r="P190" s="80"/>
      <c r="Q190" s="80"/>
      <c r="R190" s="80"/>
      <c r="S190" s="80"/>
      <c r="T190" s="80"/>
      <c r="U190" s="80"/>
      <c r="V190" s="80"/>
      <c r="W190" s="80"/>
      <c r="X190" s="80"/>
      <c r="Y190" s="80"/>
      <c r="Z190" s="80"/>
      <c r="AA190" s="80"/>
      <c r="AB190" s="85"/>
      <c r="AC190" s="84"/>
      <c r="AD190" s="83"/>
      <c r="AE190" s="75">
        <f t="shared" ca="1" si="12"/>
        <v>0</v>
      </c>
    </row>
    <row r="191" spans="1:31" x14ac:dyDescent="0.25">
      <c r="A191" s="27" t="s">
        <v>39</v>
      </c>
      <c r="B191" s="79"/>
      <c r="C191" s="80"/>
      <c r="D191" s="80"/>
      <c r="E191" s="80"/>
      <c r="F191" s="80"/>
      <c r="G191" s="80"/>
      <c r="H191" s="80"/>
      <c r="I191" s="80"/>
      <c r="J191" s="80"/>
      <c r="K191" s="80"/>
      <c r="L191" s="80"/>
      <c r="M191" s="80"/>
      <c r="N191" s="80"/>
      <c r="O191" s="80"/>
      <c r="P191" s="80"/>
      <c r="Q191" s="80"/>
      <c r="R191" s="80"/>
      <c r="S191" s="80"/>
      <c r="T191" s="80"/>
      <c r="U191" s="80"/>
      <c r="V191" s="80"/>
      <c r="W191" s="80"/>
      <c r="X191" s="80"/>
      <c r="Y191" s="80"/>
      <c r="Z191" s="80"/>
      <c r="AA191" s="80"/>
      <c r="AB191" s="80"/>
      <c r="AC191" s="84"/>
      <c r="AD191" s="83"/>
      <c r="AE191" s="75">
        <f t="shared" ca="1" si="12"/>
        <v>0</v>
      </c>
    </row>
    <row r="192" spans="1:31" x14ac:dyDescent="0.25">
      <c r="A192" s="27" t="s">
        <v>12</v>
      </c>
      <c r="B192" s="79"/>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80"/>
      <c r="AC192" s="84"/>
      <c r="AD192" s="83"/>
      <c r="AE192" s="75">
        <f t="shared" ca="1" si="12"/>
        <v>0</v>
      </c>
    </row>
    <row r="193" spans="1:31" x14ac:dyDescent="0.25">
      <c r="A193" s="27" t="s">
        <v>14</v>
      </c>
      <c r="B193" s="80"/>
      <c r="C193" s="80"/>
      <c r="D193" s="80"/>
      <c r="E193" s="80"/>
      <c r="F193" s="80"/>
      <c r="G193" s="80"/>
      <c r="H193" s="80"/>
      <c r="I193" s="80"/>
      <c r="J193" s="80"/>
      <c r="K193" s="80"/>
      <c r="L193" s="80"/>
      <c r="M193" s="80"/>
      <c r="N193" s="80"/>
      <c r="O193" s="80"/>
      <c r="P193" s="80"/>
      <c r="Q193" s="80"/>
      <c r="R193" s="80"/>
      <c r="S193" s="80"/>
      <c r="T193" s="80"/>
      <c r="U193" s="80"/>
      <c r="V193" s="80"/>
      <c r="W193" s="80"/>
      <c r="X193" s="80"/>
      <c r="Y193" s="80"/>
      <c r="Z193" s="80"/>
      <c r="AA193" s="80"/>
      <c r="AB193" s="80"/>
      <c r="AC193" s="84"/>
      <c r="AD193" s="83"/>
      <c r="AE193" s="75">
        <f t="shared" ca="1" si="12"/>
        <v>0</v>
      </c>
    </row>
    <row r="194" spans="1:31" x14ac:dyDescent="0.25">
      <c r="A194" s="28" t="s">
        <v>4</v>
      </c>
      <c r="B194" s="118"/>
      <c r="C194" s="118"/>
      <c r="D194" s="118"/>
      <c r="E194" s="118"/>
      <c r="F194" s="118"/>
      <c r="G194" s="118"/>
      <c r="H194" s="118"/>
      <c r="I194" s="118"/>
      <c r="J194" s="118"/>
      <c r="K194" s="118"/>
      <c r="L194" s="118"/>
      <c r="M194" s="118"/>
      <c r="N194" s="118"/>
      <c r="O194" s="118"/>
      <c r="P194" s="118"/>
      <c r="Q194" s="118"/>
      <c r="R194" s="118"/>
      <c r="S194" s="118"/>
      <c r="T194" s="118"/>
      <c r="U194" s="118"/>
      <c r="V194" s="118"/>
      <c r="W194" s="118"/>
      <c r="X194" s="118"/>
      <c r="Y194" s="118"/>
      <c r="Z194" s="118"/>
      <c r="AA194" s="118"/>
      <c r="AB194" s="85"/>
      <c r="AC194" s="84"/>
      <c r="AD194" s="83"/>
      <c r="AE194" s="75">
        <f t="shared" ca="1" si="12"/>
        <v>0</v>
      </c>
    </row>
    <row r="195" spans="1:31" x14ac:dyDescent="0.25">
      <c r="A195" s="27" t="s">
        <v>40</v>
      </c>
      <c r="B195" s="115"/>
      <c r="C195" s="118"/>
      <c r="D195" s="118"/>
      <c r="E195" s="118"/>
      <c r="F195" s="118"/>
      <c r="G195" s="118"/>
      <c r="H195" s="118"/>
      <c r="I195" s="118"/>
      <c r="J195" s="118"/>
      <c r="K195" s="118"/>
      <c r="L195" s="118"/>
      <c r="M195" s="118"/>
      <c r="N195" s="118"/>
      <c r="O195" s="118"/>
      <c r="P195" s="118"/>
      <c r="Q195" s="118"/>
      <c r="R195" s="118"/>
      <c r="S195" s="118"/>
      <c r="T195" s="118"/>
      <c r="U195" s="118"/>
      <c r="V195" s="118"/>
      <c r="W195" s="118"/>
      <c r="X195" s="118"/>
      <c r="Y195" s="118"/>
      <c r="Z195" s="118"/>
      <c r="AA195" s="118"/>
      <c r="AB195" s="85"/>
      <c r="AC195" s="84"/>
      <c r="AD195" s="124"/>
      <c r="AE195" s="75">
        <f t="shared" ca="1" si="12"/>
        <v>0</v>
      </c>
    </row>
    <row r="196" spans="1:31" x14ac:dyDescent="0.25">
      <c r="A196" s="27" t="s">
        <v>41</v>
      </c>
      <c r="B196" s="117"/>
      <c r="C196" s="118"/>
      <c r="D196" s="118"/>
      <c r="E196" s="118"/>
      <c r="F196" s="118"/>
      <c r="G196" s="118"/>
      <c r="H196" s="118"/>
      <c r="I196" s="118"/>
      <c r="J196" s="118"/>
      <c r="K196" s="118"/>
      <c r="L196" s="118"/>
      <c r="M196" s="118"/>
      <c r="N196" s="118"/>
      <c r="O196" s="118"/>
      <c r="P196" s="118"/>
      <c r="Q196" s="118"/>
      <c r="R196" s="118"/>
      <c r="S196" s="118"/>
      <c r="T196" s="118"/>
      <c r="U196" s="118"/>
      <c r="V196" s="118"/>
      <c r="W196" s="118"/>
      <c r="X196" s="118"/>
      <c r="Y196" s="118"/>
      <c r="Z196" s="118"/>
      <c r="AA196" s="118"/>
      <c r="AB196" s="114"/>
      <c r="AC196" s="84"/>
      <c r="AD196" s="123"/>
      <c r="AE196" s="75">
        <f t="shared" ca="1" si="12"/>
        <v>0</v>
      </c>
    </row>
    <row r="197" spans="1:31" x14ac:dyDescent="0.25">
      <c r="A197" s="27" t="s">
        <v>42</v>
      </c>
      <c r="B197" s="79"/>
      <c r="C197" s="80"/>
      <c r="D197" s="80"/>
      <c r="E197" s="80"/>
      <c r="F197" s="80"/>
      <c r="G197" s="80"/>
      <c r="H197" s="80"/>
      <c r="I197" s="80"/>
      <c r="J197" s="80"/>
      <c r="K197" s="80"/>
      <c r="L197" s="80"/>
      <c r="M197" s="80"/>
      <c r="N197" s="80"/>
      <c r="O197" s="80"/>
      <c r="P197" s="80"/>
      <c r="Q197" s="80"/>
      <c r="R197" s="80"/>
      <c r="S197" s="80"/>
      <c r="T197" s="80"/>
      <c r="U197" s="80"/>
      <c r="V197" s="80"/>
      <c r="W197" s="80"/>
      <c r="X197" s="80"/>
      <c r="Y197" s="80"/>
      <c r="Z197" s="80"/>
      <c r="AA197" s="80"/>
      <c r="AB197" s="85"/>
      <c r="AC197" s="84"/>
      <c r="AD197" s="120"/>
      <c r="AE197" s="75">
        <f t="shared" ca="1" si="12"/>
        <v>0</v>
      </c>
    </row>
    <row r="198" spans="1:31" x14ac:dyDescent="0.25">
      <c r="A198" s="45" t="s">
        <v>19</v>
      </c>
      <c r="B198" s="79"/>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c r="AA198" s="80"/>
      <c r="AB198" s="85"/>
      <c r="AC198" s="84"/>
      <c r="AD198" s="120"/>
      <c r="AE198" s="75">
        <f t="shared" ca="1" si="12"/>
        <v>0</v>
      </c>
    </row>
    <row r="199" spans="1:31" x14ac:dyDescent="0.25">
      <c r="A199" s="45" t="s">
        <v>10</v>
      </c>
      <c r="B199" s="111"/>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90"/>
      <c r="AC199" s="91"/>
      <c r="AD199" s="120"/>
      <c r="AE199" s="75">
        <f t="shared" ca="1" si="12"/>
        <v>0</v>
      </c>
    </row>
    <row r="200" spans="1:31" x14ac:dyDescent="0.25">
      <c r="A200" s="45" t="s">
        <v>13</v>
      </c>
      <c r="B200" s="111"/>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90"/>
      <c r="AC200" s="91"/>
      <c r="AD200" s="125"/>
      <c r="AE200" s="75">
        <f t="shared" ca="1" si="12"/>
        <v>0</v>
      </c>
    </row>
    <row r="201" spans="1:31" ht="16.5" thickBot="1" x14ac:dyDescent="0.3">
      <c r="A201" s="46" t="s">
        <v>11</v>
      </c>
      <c r="B201" s="111"/>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90"/>
      <c r="AC201" s="91"/>
      <c r="AD201" s="125"/>
      <c r="AE201" s="75">
        <f t="shared" ca="1" si="12"/>
        <v>0</v>
      </c>
    </row>
    <row r="202" spans="1:31" ht="16.5" thickBot="1" x14ac:dyDescent="0.3">
      <c r="A202" s="119"/>
      <c r="B202" s="88"/>
      <c r="C202" s="89"/>
      <c r="D202" s="89"/>
      <c r="E202" s="89"/>
      <c r="F202" s="89"/>
      <c r="G202" s="89"/>
      <c r="H202" s="89"/>
      <c r="I202" s="89"/>
      <c r="J202" s="89"/>
      <c r="K202" s="89"/>
      <c r="L202" s="89"/>
      <c r="M202" s="89"/>
      <c r="N202" s="89"/>
      <c r="O202" s="89"/>
      <c r="P202" s="89"/>
      <c r="Q202" s="89"/>
      <c r="R202" s="89"/>
      <c r="S202" s="89"/>
      <c r="T202" s="89"/>
      <c r="U202" s="89"/>
      <c r="V202" s="89"/>
      <c r="W202" s="89"/>
      <c r="X202" s="89"/>
      <c r="Y202" s="89"/>
      <c r="Z202" s="89"/>
      <c r="AA202" s="89"/>
      <c r="AB202" s="113"/>
      <c r="AC202" s="122"/>
      <c r="AD202" s="121"/>
      <c r="AE202" s="75">
        <f t="shared" ca="1" si="12"/>
        <v>0</v>
      </c>
    </row>
    <row r="203" spans="1:31" ht="16.5" thickBot="1" x14ac:dyDescent="0.3">
      <c r="A203" s="76"/>
      <c r="B203" s="77">
        <f ca="1">nbColor(B177:B201)</f>
        <v>0</v>
      </c>
      <c r="C203" s="77">
        <f t="shared" ref="C203:AC203" ca="1" si="13">nbColor(C177:C201)</f>
        <v>0</v>
      </c>
      <c r="D203" s="77">
        <f t="shared" ca="1" si="13"/>
        <v>0</v>
      </c>
      <c r="E203" s="77">
        <f t="shared" ca="1" si="13"/>
        <v>0</v>
      </c>
      <c r="F203" s="77">
        <f t="shared" ca="1" si="13"/>
        <v>0</v>
      </c>
      <c r="G203" s="77">
        <f t="shared" ca="1" si="13"/>
        <v>0</v>
      </c>
      <c r="H203" s="77">
        <f t="shared" ca="1" si="13"/>
        <v>0</v>
      </c>
      <c r="I203" s="77">
        <f t="shared" ca="1" si="13"/>
        <v>0</v>
      </c>
      <c r="J203" s="77">
        <f t="shared" ca="1" si="13"/>
        <v>0</v>
      </c>
      <c r="K203" s="77">
        <f t="shared" ca="1" si="13"/>
        <v>0</v>
      </c>
      <c r="L203" s="77">
        <f t="shared" ca="1" si="13"/>
        <v>0</v>
      </c>
      <c r="M203" s="77">
        <f t="shared" ca="1" si="13"/>
        <v>0</v>
      </c>
      <c r="N203" s="77">
        <f t="shared" ca="1" si="13"/>
        <v>0</v>
      </c>
      <c r="O203" s="77">
        <f t="shared" ca="1" si="13"/>
        <v>0</v>
      </c>
      <c r="P203" s="77">
        <f t="shared" ca="1" si="13"/>
        <v>0</v>
      </c>
      <c r="Q203" s="77">
        <f t="shared" ca="1" si="13"/>
        <v>0</v>
      </c>
      <c r="R203" s="77">
        <f t="shared" ca="1" si="13"/>
        <v>0</v>
      </c>
      <c r="S203" s="77">
        <f t="shared" ca="1" si="13"/>
        <v>0</v>
      </c>
      <c r="T203" s="77">
        <f t="shared" ca="1" si="13"/>
        <v>0</v>
      </c>
      <c r="U203" s="77">
        <f t="shared" ca="1" si="13"/>
        <v>0</v>
      </c>
      <c r="V203" s="77">
        <f t="shared" ca="1" si="13"/>
        <v>0</v>
      </c>
      <c r="W203" s="77">
        <f t="shared" ca="1" si="13"/>
        <v>0</v>
      </c>
      <c r="X203" s="77">
        <f t="shared" ca="1" si="13"/>
        <v>0</v>
      </c>
      <c r="Y203" s="77">
        <f t="shared" ca="1" si="13"/>
        <v>0</v>
      </c>
      <c r="Z203" s="77">
        <f t="shared" ca="1" si="13"/>
        <v>0</v>
      </c>
      <c r="AA203" s="77">
        <f t="shared" ca="1" si="13"/>
        <v>0</v>
      </c>
      <c r="AB203" s="77">
        <f t="shared" ca="1" si="13"/>
        <v>0</v>
      </c>
      <c r="AC203" s="77">
        <f t="shared" ca="1" si="13"/>
        <v>0</v>
      </c>
      <c r="AD203" s="116"/>
      <c r="AE203" s="78">
        <f ca="1">SUM(AE178:AE195)</f>
        <v>0</v>
      </c>
    </row>
  </sheetData>
  <mergeCells count="7">
    <mergeCell ref="AD146:AD147"/>
    <mergeCell ref="AD175:AD176"/>
    <mergeCell ref="AD1:AD2"/>
    <mergeCell ref="AD30:AD31"/>
    <mergeCell ref="AD59:AD60"/>
    <mergeCell ref="AD88:AD89"/>
    <mergeCell ref="AD117:AD11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39866-B321-E447-A2C0-E04669B441C7}">
  <sheetPr codeName="Feuil2"/>
  <dimension ref="A1:NW29"/>
  <sheetViews>
    <sheetView workbookViewId="0">
      <pane xSplit="1" topLeftCell="B1" activePane="topRight" state="frozen"/>
      <selection pane="topRight" activeCell="X35" sqref="X35"/>
    </sheetView>
  </sheetViews>
  <sheetFormatPr baseColWidth="10" defaultRowHeight="15.75" x14ac:dyDescent="0.25"/>
  <cols>
    <col min="1" max="1" width="16.375" customWidth="1"/>
    <col min="2" max="97" width="2.875" customWidth="1"/>
    <col min="98" max="98" width="3.5" customWidth="1"/>
    <col min="99" max="366" width="2.875" customWidth="1"/>
    <col min="367" max="367" width="10.875" customWidth="1"/>
  </cols>
  <sheetData>
    <row r="1" spans="1:386" s="21" customFormat="1" ht="19.5" thickBot="1" x14ac:dyDescent="0.35">
      <c r="A1" s="142">
        <v>2022</v>
      </c>
      <c r="B1" s="147" t="s">
        <v>20</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9"/>
      <c r="AG1" s="147" t="s">
        <v>21</v>
      </c>
      <c r="AH1" s="148"/>
      <c r="AI1" s="148"/>
      <c r="AJ1" s="148"/>
      <c r="AK1" s="148"/>
      <c r="AL1" s="148"/>
      <c r="AM1" s="148"/>
      <c r="AN1" s="148"/>
      <c r="AO1" s="148"/>
      <c r="AP1" s="148"/>
      <c r="AQ1" s="148"/>
      <c r="AR1" s="148"/>
      <c r="AS1" s="148"/>
      <c r="AT1" s="148"/>
      <c r="AU1" s="148"/>
      <c r="AV1" s="148"/>
      <c r="AW1" s="148"/>
      <c r="AX1" s="148"/>
      <c r="AY1" s="148"/>
      <c r="AZ1" s="148"/>
      <c r="BA1" s="148"/>
      <c r="BB1" s="148"/>
      <c r="BC1" s="148"/>
      <c r="BD1" s="148"/>
      <c r="BE1" s="148"/>
      <c r="BF1" s="148"/>
      <c r="BG1" s="148"/>
      <c r="BH1" s="149"/>
      <c r="BI1" s="147" t="s">
        <v>22</v>
      </c>
      <c r="BJ1" s="148"/>
      <c r="BK1" s="148"/>
      <c r="BL1" s="148"/>
      <c r="BM1" s="148"/>
      <c r="BN1" s="148"/>
      <c r="BO1" s="148"/>
      <c r="BP1" s="148"/>
      <c r="BQ1" s="148"/>
      <c r="BR1" s="148"/>
      <c r="BS1" s="148"/>
      <c r="BT1" s="148"/>
      <c r="BU1" s="148"/>
      <c r="BV1" s="148"/>
      <c r="BW1" s="148"/>
      <c r="BX1" s="148"/>
      <c r="BY1" s="148"/>
      <c r="BZ1" s="148"/>
      <c r="CA1" s="148"/>
      <c r="CB1" s="148"/>
      <c r="CC1" s="148"/>
      <c r="CD1" s="148"/>
      <c r="CE1" s="148"/>
      <c r="CF1" s="148"/>
      <c r="CG1" s="148"/>
      <c r="CH1" s="148"/>
      <c r="CI1" s="148"/>
      <c r="CJ1" s="148"/>
      <c r="CK1" s="148"/>
      <c r="CL1" s="148"/>
      <c r="CM1" s="149"/>
      <c r="CN1" s="147" t="s">
        <v>23</v>
      </c>
      <c r="CO1" s="148"/>
      <c r="CP1" s="148"/>
      <c r="CQ1" s="148"/>
      <c r="CR1" s="148"/>
      <c r="CS1" s="148"/>
      <c r="CT1" s="148"/>
      <c r="CU1" s="148"/>
      <c r="CV1" s="148"/>
      <c r="CW1" s="148"/>
      <c r="CX1" s="148"/>
      <c r="CY1" s="148"/>
      <c r="CZ1" s="148"/>
      <c r="DA1" s="148"/>
      <c r="DB1" s="148"/>
      <c r="DC1" s="148"/>
      <c r="DD1" s="148"/>
      <c r="DE1" s="148"/>
      <c r="DF1" s="148"/>
      <c r="DG1" s="148"/>
      <c r="DH1" s="148"/>
      <c r="DI1" s="148"/>
      <c r="DJ1" s="148"/>
      <c r="DK1" s="148"/>
      <c r="DL1" s="148"/>
      <c r="DM1" s="148"/>
      <c r="DN1" s="148"/>
      <c r="DO1" s="148"/>
      <c r="DP1" s="148"/>
      <c r="DQ1" s="149"/>
      <c r="DR1" s="147" t="s">
        <v>24</v>
      </c>
      <c r="DS1" s="148"/>
      <c r="DT1" s="148"/>
      <c r="DU1" s="148"/>
      <c r="DV1" s="148"/>
      <c r="DW1" s="148"/>
      <c r="DX1" s="148"/>
      <c r="DY1" s="148"/>
      <c r="DZ1" s="148"/>
      <c r="EA1" s="148"/>
      <c r="EB1" s="148"/>
      <c r="EC1" s="148"/>
      <c r="ED1" s="148"/>
      <c r="EE1" s="148"/>
      <c r="EF1" s="148"/>
      <c r="EG1" s="148"/>
      <c r="EH1" s="148"/>
      <c r="EI1" s="148"/>
      <c r="EJ1" s="148"/>
      <c r="EK1" s="148"/>
      <c r="EL1" s="148"/>
      <c r="EM1" s="148"/>
      <c r="EN1" s="148"/>
      <c r="EO1" s="148"/>
      <c r="EP1" s="148"/>
      <c r="EQ1" s="148"/>
      <c r="ER1" s="148"/>
      <c r="ES1" s="148"/>
      <c r="ET1" s="148"/>
      <c r="EU1" s="148"/>
      <c r="EV1" s="149"/>
      <c r="EW1" s="147" t="s">
        <v>25</v>
      </c>
      <c r="EX1" s="148"/>
      <c r="EY1" s="148"/>
      <c r="EZ1" s="148"/>
      <c r="FA1" s="148"/>
      <c r="FB1" s="148"/>
      <c r="FC1" s="148"/>
      <c r="FD1" s="148"/>
      <c r="FE1" s="148"/>
      <c r="FF1" s="148"/>
      <c r="FG1" s="148"/>
      <c r="FH1" s="148"/>
      <c r="FI1" s="148"/>
      <c r="FJ1" s="148"/>
      <c r="FK1" s="148"/>
      <c r="FL1" s="148"/>
      <c r="FM1" s="148"/>
      <c r="FN1" s="148"/>
      <c r="FO1" s="148"/>
      <c r="FP1" s="148"/>
      <c r="FQ1" s="148"/>
      <c r="FR1" s="148"/>
      <c r="FS1" s="148"/>
      <c r="FT1" s="148"/>
      <c r="FU1" s="148"/>
      <c r="FV1" s="148"/>
      <c r="FW1" s="148"/>
      <c r="FX1" s="148"/>
      <c r="FY1" s="148"/>
      <c r="FZ1" s="149"/>
      <c r="GA1" s="147" t="s">
        <v>26</v>
      </c>
      <c r="GB1" s="148"/>
      <c r="GC1" s="148"/>
      <c r="GD1" s="148"/>
      <c r="GE1" s="148"/>
      <c r="GF1" s="148"/>
      <c r="GG1" s="148"/>
      <c r="GH1" s="148"/>
      <c r="GI1" s="148"/>
      <c r="GJ1" s="148"/>
      <c r="GK1" s="148"/>
      <c r="GL1" s="148"/>
      <c r="GM1" s="148"/>
      <c r="GN1" s="148"/>
      <c r="GO1" s="148"/>
      <c r="GP1" s="148"/>
      <c r="GQ1" s="148"/>
      <c r="GR1" s="148"/>
      <c r="GS1" s="148"/>
      <c r="GT1" s="148"/>
      <c r="GU1" s="148"/>
      <c r="GV1" s="148"/>
      <c r="GW1" s="148"/>
      <c r="GX1" s="148"/>
      <c r="GY1" s="148"/>
      <c r="GZ1" s="148"/>
      <c r="HA1" s="148"/>
      <c r="HB1" s="148"/>
      <c r="HC1" s="148"/>
      <c r="HD1" s="148"/>
      <c r="HE1" s="149"/>
      <c r="HF1" s="147" t="s">
        <v>27</v>
      </c>
      <c r="HG1" s="148"/>
      <c r="HH1" s="148"/>
      <c r="HI1" s="148"/>
      <c r="HJ1" s="148"/>
      <c r="HK1" s="148"/>
      <c r="HL1" s="148"/>
      <c r="HM1" s="148"/>
      <c r="HN1" s="148"/>
      <c r="HO1" s="148"/>
      <c r="HP1" s="148"/>
      <c r="HQ1" s="148"/>
      <c r="HR1" s="148"/>
      <c r="HS1" s="148"/>
      <c r="HT1" s="148"/>
      <c r="HU1" s="148"/>
      <c r="HV1" s="148"/>
      <c r="HW1" s="148"/>
      <c r="HX1" s="148"/>
      <c r="HY1" s="148"/>
      <c r="HZ1" s="148"/>
      <c r="IA1" s="148"/>
      <c r="IB1" s="148"/>
      <c r="IC1" s="148"/>
      <c r="ID1" s="148"/>
      <c r="IE1" s="148"/>
      <c r="IF1" s="148"/>
      <c r="IG1" s="148"/>
      <c r="IH1" s="148"/>
      <c r="II1" s="148"/>
      <c r="IJ1" s="149"/>
      <c r="IK1" s="147" t="s">
        <v>28</v>
      </c>
      <c r="IL1" s="148"/>
      <c r="IM1" s="148"/>
      <c r="IN1" s="148"/>
      <c r="IO1" s="148"/>
      <c r="IP1" s="148"/>
      <c r="IQ1" s="148"/>
      <c r="IR1" s="148"/>
      <c r="IS1" s="148"/>
      <c r="IT1" s="148"/>
      <c r="IU1" s="148"/>
      <c r="IV1" s="148"/>
      <c r="IW1" s="148"/>
      <c r="IX1" s="148"/>
      <c r="IY1" s="148"/>
      <c r="IZ1" s="148"/>
      <c r="JA1" s="148"/>
      <c r="JB1" s="148"/>
      <c r="JC1" s="148"/>
      <c r="JD1" s="148"/>
      <c r="JE1" s="148"/>
      <c r="JF1" s="148"/>
      <c r="JG1" s="148"/>
      <c r="JH1" s="148"/>
      <c r="JI1" s="148"/>
      <c r="JJ1" s="148"/>
      <c r="JK1" s="148"/>
      <c r="JL1" s="148"/>
      <c r="JM1" s="148"/>
      <c r="JN1" s="149"/>
      <c r="JO1" s="147" t="s">
        <v>29</v>
      </c>
      <c r="JP1" s="148"/>
      <c r="JQ1" s="148"/>
      <c r="JR1" s="148"/>
      <c r="JS1" s="148"/>
      <c r="JT1" s="148"/>
      <c r="JU1" s="148"/>
      <c r="JV1" s="148"/>
      <c r="JW1" s="148"/>
      <c r="JX1" s="148"/>
      <c r="JY1" s="148"/>
      <c r="JZ1" s="148"/>
      <c r="KA1" s="148"/>
      <c r="KB1" s="148"/>
      <c r="KC1" s="148"/>
      <c r="KD1" s="148"/>
      <c r="KE1" s="148"/>
      <c r="KF1" s="148"/>
      <c r="KG1" s="148"/>
      <c r="KH1" s="148"/>
      <c r="KI1" s="148"/>
      <c r="KJ1" s="148"/>
      <c r="KK1" s="148"/>
      <c r="KL1" s="148"/>
      <c r="KM1" s="148"/>
      <c r="KN1" s="148"/>
      <c r="KO1" s="148"/>
      <c r="KP1" s="148"/>
      <c r="KQ1" s="148"/>
      <c r="KR1" s="148"/>
      <c r="KS1" s="149"/>
      <c r="KT1" s="147" t="s">
        <v>30</v>
      </c>
      <c r="KU1" s="148"/>
      <c r="KV1" s="148"/>
      <c r="KW1" s="148"/>
      <c r="KX1" s="148"/>
      <c r="KY1" s="148"/>
      <c r="KZ1" s="148"/>
      <c r="LA1" s="148"/>
      <c r="LB1" s="148"/>
      <c r="LC1" s="148"/>
      <c r="LD1" s="148"/>
      <c r="LE1" s="148"/>
      <c r="LF1" s="148"/>
      <c r="LG1" s="148"/>
      <c r="LH1" s="148"/>
      <c r="LI1" s="148"/>
      <c r="LJ1" s="148"/>
      <c r="LK1" s="148"/>
      <c r="LL1" s="148"/>
      <c r="LM1" s="148"/>
      <c r="LN1" s="148"/>
      <c r="LO1" s="148"/>
      <c r="LP1" s="148"/>
      <c r="LQ1" s="148"/>
      <c r="LR1" s="148"/>
      <c r="LS1" s="148"/>
      <c r="LT1" s="148"/>
      <c r="LU1" s="148"/>
      <c r="LV1" s="148"/>
      <c r="LW1" s="149"/>
      <c r="LX1" s="147" t="s">
        <v>31</v>
      </c>
      <c r="LY1" s="148"/>
      <c r="LZ1" s="148"/>
      <c r="MA1" s="148"/>
      <c r="MB1" s="148"/>
      <c r="MC1" s="148"/>
      <c r="MD1" s="148"/>
      <c r="ME1" s="148"/>
      <c r="MF1" s="148"/>
      <c r="MG1" s="148"/>
      <c r="MH1" s="148"/>
      <c r="MI1" s="148"/>
      <c r="MJ1" s="148"/>
      <c r="MK1" s="148"/>
      <c r="ML1" s="148"/>
      <c r="MM1" s="148"/>
      <c r="MN1" s="148"/>
      <c r="MO1" s="148"/>
      <c r="MP1" s="148"/>
      <c r="MQ1" s="148"/>
      <c r="MR1" s="148"/>
      <c r="MS1" s="148"/>
      <c r="MT1" s="148"/>
      <c r="MU1" s="148"/>
      <c r="MV1" s="148"/>
      <c r="MW1" s="148"/>
      <c r="MX1" s="148"/>
      <c r="MY1" s="148"/>
      <c r="MZ1" s="148"/>
      <c r="NA1" s="148"/>
      <c r="NB1" s="150"/>
      <c r="NC1" s="144" t="s">
        <v>44</v>
      </c>
      <c r="ND1" s="38"/>
      <c r="NE1" s="38"/>
      <c r="NF1" s="38"/>
      <c r="NG1" s="38"/>
      <c r="NH1" s="38"/>
      <c r="NI1" s="38"/>
      <c r="NJ1" s="38"/>
      <c r="NK1" s="38"/>
      <c r="NL1" s="38"/>
      <c r="NM1" s="38"/>
      <c r="NN1" s="38"/>
      <c r="NO1" s="38"/>
      <c r="NP1" s="38"/>
      <c r="NQ1" s="38"/>
      <c r="NR1" s="38"/>
      <c r="NS1" s="38"/>
      <c r="NT1" s="38"/>
      <c r="NU1" s="38"/>
      <c r="NV1" s="38"/>
    </row>
    <row r="2" spans="1:386" x14ac:dyDescent="0.25">
      <c r="A2" s="142"/>
      <c r="B2" s="6" t="s">
        <v>32</v>
      </c>
      <c r="C2" s="7" t="s">
        <v>33</v>
      </c>
      <c r="D2" s="7" t="s">
        <v>34</v>
      </c>
      <c r="E2" s="7" t="s">
        <v>35</v>
      </c>
      <c r="F2" s="7" t="s">
        <v>35</v>
      </c>
      <c r="G2" s="7" t="s">
        <v>36</v>
      </c>
      <c r="H2" s="7" t="s">
        <v>37</v>
      </c>
      <c r="I2" s="7" t="s">
        <v>32</v>
      </c>
      <c r="J2" s="7" t="s">
        <v>33</v>
      </c>
      <c r="K2" s="7" t="s">
        <v>34</v>
      </c>
      <c r="L2" s="7" t="s">
        <v>35</v>
      </c>
      <c r="M2" s="7" t="s">
        <v>35</v>
      </c>
      <c r="N2" s="7" t="s">
        <v>36</v>
      </c>
      <c r="O2" s="7" t="s">
        <v>37</v>
      </c>
      <c r="P2" s="7" t="s">
        <v>32</v>
      </c>
      <c r="Q2" s="7" t="s">
        <v>33</v>
      </c>
      <c r="R2" s="7" t="s">
        <v>34</v>
      </c>
      <c r="S2" s="7" t="s">
        <v>35</v>
      </c>
      <c r="T2" s="7" t="s">
        <v>35</v>
      </c>
      <c r="U2" s="7" t="s">
        <v>36</v>
      </c>
      <c r="V2" s="7" t="s">
        <v>37</v>
      </c>
      <c r="W2" s="7" t="s">
        <v>32</v>
      </c>
      <c r="X2" s="7" t="s">
        <v>33</v>
      </c>
      <c r="Y2" s="7" t="s">
        <v>34</v>
      </c>
      <c r="Z2" s="7" t="s">
        <v>35</v>
      </c>
      <c r="AA2" s="7" t="s">
        <v>35</v>
      </c>
      <c r="AB2" s="7" t="s">
        <v>36</v>
      </c>
      <c r="AC2" s="7" t="s">
        <v>37</v>
      </c>
      <c r="AD2" s="7" t="s">
        <v>32</v>
      </c>
      <c r="AE2" s="7" t="s">
        <v>33</v>
      </c>
      <c r="AF2" s="8" t="s">
        <v>34</v>
      </c>
      <c r="AG2" s="6" t="s">
        <v>35</v>
      </c>
      <c r="AH2" s="7" t="s">
        <v>35</v>
      </c>
      <c r="AI2" s="7" t="s">
        <v>36</v>
      </c>
      <c r="AJ2" s="7" t="s">
        <v>37</v>
      </c>
      <c r="AK2" s="7" t="s">
        <v>32</v>
      </c>
      <c r="AL2" s="7" t="s">
        <v>33</v>
      </c>
      <c r="AM2" s="9" t="s">
        <v>34</v>
      </c>
      <c r="AN2" s="10" t="s">
        <v>35</v>
      </c>
      <c r="AO2" s="10" t="s">
        <v>35</v>
      </c>
      <c r="AP2" s="10" t="s">
        <v>36</v>
      </c>
      <c r="AQ2" s="10" t="s">
        <v>37</v>
      </c>
      <c r="AR2" s="10" t="s">
        <v>32</v>
      </c>
      <c r="AS2" s="10" t="s">
        <v>33</v>
      </c>
      <c r="AT2" s="9" t="s">
        <v>34</v>
      </c>
      <c r="AU2" s="10" t="s">
        <v>35</v>
      </c>
      <c r="AV2" s="10" t="s">
        <v>35</v>
      </c>
      <c r="AW2" s="10" t="s">
        <v>36</v>
      </c>
      <c r="AX2" s="10" t="s">
        <v>37</v>
      </c>
      <c r="AY2" s="10" t="s">
        <v>32</v>
      </c>
      <c r="AZ2" s="10" t="s">
        <v>33</v>
      </c>
      <c r="BA2" s="9" t="s">
        <v>34</v>
      </c>
      <c r="BB2" s="10" t="s">
        <v>35</v>
      </c>
      <c r="BC2" s="10" t="s">
        <v>35</v>
      </c>
      <c r="BD2" s="10" t="s">
        <v>36</v>
      </c>
      <c r="BE2" s="10" t="s">
        <v>37</v>
      </c>
      <c r="BF2" s="10" t="s">
        <v>32</v>
      </c>
      <c r="BG2" s="10" t="s">
        <v>33</v>
      </c>
      <c r="BH2" s="8" t="s">
        <v>34</v>
      </c>
      <c r="BI2" s="6" t="s">
        <v>35</v>
      </c>
      <c r="BJ2" s="7" t="s">
        <v>35</v>
      </c>
      <c r="BK2" s="7" t="s">
        <v>36</v>
      </c>
      <c r="BL2" s="7" t="s">
        <v>37</v>
      </c>
      <c r="BM2" s="7" t="s">
        <v>32</v>
      </c>
      <c r="BN2" s="7" t="s">
        <v>33</v>
      </c>
      <c r="BO2" s="9" t="s">
        <v>34</v>
      </c>
      <c r="BP2" s="10" t="s">
        <v>35</v>
      </c>
      <c r="BQ2" s="10" t="s">
        <v>35</v>
      </c>
      <c r="BR2" s="10" t="s">
        <v>36</v>
      </c>
      <c r="BS2" s="10" t="s">
        <v>37</v>
      </c>
      <c r="BT2" s="10" t="s">
        <v>32</v>
      </c>
      <c r="BU2" s="10" t="s">
        <v>33</v>
      </c>
      <c r="BV2" s="9" t="s">
        <v>34</v>
      </c>
      <c r="BW2" s="10" t="s">
        <v>35</v>
      </c>
      <c r="BX2" s="10" t="s">
        <v>35</v>
      </c>
      <c r="BY2" s="10" t="s">
        <v>36</v>
      </c>
      <c r="BZ2" s="10" t="s">
        <v>37</v>
      </c>
      <c r="CA2" s="10" t="s">
        <v>32</v>
      </c>
      <c r="CB2" s="10" t="s">
        <v>33</v>
      </c>
      <c r="CC2" s="9" t="s">
        <v>34</v>
      </c>
      <c r="CD2" s="10" t="s">
        <v>35</v>
      </c>
      <c r="CE2" s="10" t="s">
        <v>35</v>
      </c>
      <c r="CF2" s="10" t="s">
        <v>36</v>
      </c>
      <c r="CG2" s="10" t="s">
        <v>37</v>
      </c>
      <c r="CH2" s="10" t="s">
        <v>32</v>
      </c>
      <c r="CI2" s="10" t="s">
        <v>33</v>
      </c>
      <c r="CJ2" s="7" t="s">
        <v>34</v>
      </c>
      <c r="CK2" s="7" t="s">
        <v>35</v>
      </c>
      <c r="CL2" s="7" t="s">
        <v>35</v>
      </c>
      <c r="CM2" s="8" t="s">
        <v>36</v>
      </c>
      <c r="CN2" s="6" t="s">
        <v>37</v>
      </c>
      <c r="CO2" s="7" t="s">
        <v>32</v>
      </c>
      <c r="CP2" s="7" t="s">
        <v>33</v>
      </c>
      <c r="CQ2" s="9" t="s">
        <v>34</v>
      </c>
      <c r="CR2" s="10" t="s">
        <v>35</v>
      </c>
      <c r="CS2" s="10" t="s">
        <v>35</v>
      </c>
      <c r="CT2" s="10" t="s">
        <v>36</v>
      </c>
      <c r="CU2" s="10" t="s">
        <v>37</v>
      </c>
      <c r="CV2" s="10" t="s">
        <v>32</v>
      </c>
      <c r="CW2" s="10" t="s">
        <v>33</v>
      </c>
      <c r="CX2" s="9" t="s">
        <v>34</v>
      </c>
      <c r="CY2" s="10" t="s">
        <v>35</v>
      </c>
      <c r="CZ2" s="10" t="s">
        <v>35</v>
      </c>
      <c r="DA2" s="10" t="s">
        <v>36</v>
      </c>
      <c r="DB2" s="10" t="s">
        <v>37</v>
      </c>
      <c r="DC2" s="10" t="s">
        <v>32</v>
      </c>
      <c r="DD2" s="10" t="s">
        <v>33</v>
      </c>
      <c r="DE2" s="9" t="s">
        <v>34</v>
      </c>
      <c r="DF2" s="10" t="s">
        <v>35</v>
      </c>
      <c r="DG2" s="10" t="s">
        <v>35</v>
      </c>
      <c r="DH2" s="10" t="s">
        <v>36</v>
      </c>
      <c r="DI2" s="10" t="s">
        <v>37</v>
      </c>
      <c r="DJ2" s="10" t="s">
        <v>32</v>
      </c>
      <c r="DK2" s="10" t="s">
        <v>33</v>
      </c>
      <c r="DL2" s="7" t="s">
        <v>34</v>
      </c>
      <c r="DM2" s="7" t="s">
        <v>35</v>
      </c>
      <c r="DN2" s="7" t="s">
        <v>35</v>
      </c>
      <c r="DO2" s="7" t="s">
        <v>36</v>
      </c>
      <c r="DP2" s="7" t="s">
        <v>37</v>
      </c>
      <c r="DQ2" s="8" t="s">
        <v>32</v>
      </c>
      <c r="DR2" s="6" t="s">
        <v>33</v>
      </c>
      <c r="DS2" s="9" t="s">
        <v>34</v>
      </c>
      <c r="DT2" s="10" t="s">
        <v>35</v>
      </c>
      <c r="DU2" s="10" t="s">
        <v>35</v>
      </c>
      <c r="DV2" s="10" t="s">
        <v>36</v>
      </c>
      <c r="DW2" s="10" t="s">
        <v>37</v>
      </c>
      <c r="DX2" s="10" t="s">
        <v>32</v>
      </c>
      <c r="DY2" s="10" t="s">
        <v>33</v>
      </c>
      <c r="DZ2" s="9" t="s">
        <v>34</v>
      </c>
      <c r="EA2" s="10" t="s">
        <v>35</v>
      </c>
      <c r="EB2" s="10" t="s">
        <v>35</v>
      </c>
      <c r="EC2" s="10" t="s">
        <v>36</v>
      </c>
      <c r="ED2" s="10" t="s">
        <v>37</v>
      </c>
      <c r="EE2" s="10" t="s">
        <v>32</v>
      </c>
      <c r="EF2" s="10" t="s">
        <v>33</v>
      </c>
      <c r="EG2" s="9" t="s">
        <v>34</v>
      </c>
      <c r="EH2" s="10" t="s">
        <v>35</v>
      </c>
      <c r="EI2" s="10" t="s">
        <v>35</v>
      </c>
      <c r="EJ2" s="10" t="s">
        <v>36</v>
      </c>
      <c r="EK2" s="10" t="s">
        <v>37</v>
      </c>
      <c r="EL2" s="10" t="s">
        <v>32</v>
      </c>
      <c r="EM2" s="10" t="s">
        <v>33</v>
      </c>
      <c r="EN2" s="9" t="s">
        <v>34</v>
      </c>
      <c r="EO2" s="10" t="s">
        <v>35</v>
      </c>
      <c r="EP2" s="10" t="s">
        <v>35</v>
      </c>
      <c r="EQ2" s="10" t="s">
        <v>36</v>
      </c>
      <c r="ER2" s="10" t="s">
        <v>37</v>
      </c>
      <c r="ES2" s="10" t="s">
        <v>32</v>
      </c>
      <c r="ET2" s="10" t="s">
        <v>33</v>
      </c>
      <c r="EU2" s="7" t="s">
        <v>34</v>
      </c>
      <c r="EV2" s="8" t="s">
        <v>35</v>
      </c>
      <c r="EW2" s="6" t="s">
        <v>35</v>
      </c>
      <c r="EX2" s="7" t="s">
        <v>36</v>
      </c>
      <c r="EY2" s="7" t="s">
        <v>37</v>
      </c>
      <c r="EZ2" s="7" t="s">
        <v>32</v>
      </c>
      <c r="FA2" s="7" t="s">
        <v>33</v>
      </c>
      <c r="FB2" s="9" t="s">
        <v>34</v>
      </c>
      <c r="FC2" s="10" t="s">
        <v>35</v>
      </c>
      <c r="FD2" s="10" t="s">
        <v>35</v>
      </c>
      <c r="FE2" s="10" t="s">
        <v>36</v>
      </c>
      <c r="FF2" s="10" t="s">
        <v>37</v>
      </c>
      <c r="FG2" s="10" t="s">
        <v>32</v>
      </c>
      <c r="FH2" s="10" t="s">
        <v>33</v>
      </c>
      <c r="FI2" s="9" t="s">
        <v>34</v>
      </c>
      <c r="FJ2" s="10" t="s">
        <v>35</v>
      </c>
      <c r="FK2" s="10" t="s">
        <v>35</v>
      </c>
      <c r="FL2" s="10" t="s">
        <v>36</v>
      </c>
      <c r="FM2" s="10" t="s">
        <v>37</v>
      </c>
      <c r="FN2" s="10" t="s">
        <v>32</v>
      </c>
      <c r="FO2" s="10" t="s">
        <v>33</v>
      </c>
      <c r="FP2" s="9" t="s">
        <v>34</v>
      </c>
      <c r="FQ2" s="10" t="s">
        <v>35</v>
      </c>
      <c r="FR2" s="10" t="s">
        <v>35</v>
      </c>
      <c r="FS2" s="10" t="s">
        <v>36</v>
      </c>
      <c r="FT2" s="10" t="s">
        <v>37</v>
      </c>
      <c r="FU2" s="10" t="s">
        <v>32</v>
      </c>
      <c r="FV2" s="10" t="s">
        <v>33</v>
      </c>
      <c r="FW2" s="7" t="s">
        <v>34</v>
      </c>
      <c r="FX2" s="7" t="s">
        <v>35</v>
      </c>
      <c r="FY2" s="7" t="s">
        <v>35</v>
      </c>
      <c r="FZ2" s="8" t="s">
        <v>36</v>
      </c>
      <c r="GA2" s="6" t="s">
        <v>37</v>
      </c>
      <c r="GB2" s="7" t="s">
        <v>32</v>
      </c>
      <c r="GC2" s="7" t="s">
        <v>33</v>
      </c>
      <c r="GD2" s="9" t="s">
        <v>34</v>
      </c>
      <c r="GE2" s="10" t="s">
        <v>35</v>
      </c>
      <c r="GF2" s="10" t="s">
        <v>35</v>
      </c>
      <c r="GG2" s="10" t="s">
        <v>36</v>
      </c>
      <c r="GH2" s="10" t="s">
        <v>37</v>
      </c>
      <c r="GI2" s="10" t="s">
        <v>32</v>
      </c>
      <c r="GJ2" s="10" t="s">
        <v>33</v>
      </c>
      <c r="GK2" s="9" t="s">
        <v>34</v>
      </c>
      <c r="GL2" s="10" t="s">
        <v>35</v>
      </c>
      <c r="GM2" s="10" t="s">
        <v>35</v>
      </c>
      <c r="GN2" s="10" t="s">
        <v>36</v>
      </c>
      <c r="GO2" s="10" t="s">
        <v>37</v>
      </c>
      <c r="GP2" s="10" t="s">
        <v>32</v>
      </c>
      <c r="GQ2" s="10" t="s">
        <v>33</v>
      </c>
      <c r="GR2" s="9" t="s">
        <v>34</v>
      </c>
      <c r="GS2" s="10" t="s">
        <v>35</v>
      </c>
      <c r="GT2" s="10" t="s">
        <v>35</v>
      </c>
      <c r="GU2" s="10" t="s">
        <v>36</v>
      </c>
      <c r="GV2" s="10" t="s">
        <v>37</v>
      </c>
      <c r="GW2" s="10" t="s">
        <v>32</v>
      </c>
      <c r="GX2" s="10" t="s">
        <v>33</v>
      </c>
      <c r="GY2" s="9" t="s">
        <v>34</v>
      </c>
      <c r="GZ2" s="10" t="s">
        <v>35</v>
      </c>
      <c r="HA2" s="10" t="s">
        <v>35</v>
      </c>
      <c r="HB2" s="10" t="s">
        <v>36</v>
      </c>
      <c r="HC2" s="10" t="s">
        <v>37</v>
      </c>
      <c r="HD2" s="10" t="s">
        <v>32</v>
      </c>
      <c r="HE2" s="14" t="s">
        <v>33</v>
      </c>
      <c r="HF2" s="19" t="s">
        <v>34</v>
      </c>
      <c r="HG2" s="10" t="s">
        <v>35</v>
      </c>
      <c r="HH2" s="10" t="s">
        <v>35</v>
      </c>
      <c r="HI2" s="10" t="s">
        <v>36</v>
      </c>
      <c r="HJ2" s="10" t="s">
        <v>37</v>
      </c>
      <c r="HK2" s="10" t="s">
        <v>32</v>
      </c>
      <c r="HL2" s="10" t="s">
        <v>33</v>
      </c>
      <c r="HM2" s="9" t="s">
        <v>34</v>
      </c>
      <c r="HN2" s="10" t="s">
        <v>35</v>
      </c>
      <c r="HO2" s="10" t="s">
        <v>35</v>
      </c>
      <c r="HP2" s="10" t="s">
        <v>36</v>
      </c>
      <c r="HQ2" s="10" t="s">
        <v>37</v>
      </c>
      <c r="HR2" s="10" t="s">
        <v>32</v>
      </c>
      <c r="HS2" s="10" t="s">
        <v>33</v>
      </c>
      <c r="HT2" s="9" t="s">
        <v>34</v>
      </c>
      <c r="HU2" s="10" t="s">
        <v>35</v>
      </c>
      <c r="HV2" s="10" t="s">
        <v>35</v>
      </c>
      <c r="HW2" s="10" t="s">
        <v>36</v>
      </c>
      <c r="HX2" s="10" t="s">
        <v>37</v>
      </c>
      <c r="HY2" s="10" t="s">
        <v>32</v>
      </c>
      <c r="HZ2" s="10" t="s">
        <v>33</v>
      </c>
      <c r="IA2" s="9" t="s">
        <v>34</v>
      </c>
      <c r="IB2" s="10" t="s">
        <v>35</v>
      </c>
      <c r="IC2" s="10" t="s">
        <v>35</v>
      </c>
      <c r="ID2" s="10" t="s">
        <v>36</v>
      </c>
      <c r="IE2" s="10" t="s">
        <v>37</v>
      </c>
      <c r="IF2" s="10" t="s">
        <v>32</v>
      </c>
      <c r="IG2" s="10" t="s">
        <v>33</v>
      </c>
      <c r="IH2" s="9" t="s">
        <v>34</v>
      </c>
      <c r="II2" s="10" t="s">
        <v>35</v>
      </c>
      <c r="IJ2" s="14" t="s">
        <v>35</v>
      </c>
      <c r="IK2" s="19" t="s">
        <v>36</v>
      </c>
      <c r="IL2" s="10" t="s">
        <v>37</v>
      </c>
      <c r="IM2" s="10" t="s">
        <v>32</v>
      </c>
      <c r="IN2" s="10" t="s">
        <v>33</v>
      </c>
      <c r="IO2" s="9" t="s">
        <v>34</v>
      </c>
      <c r="IP2" s="10" t="s">
        <v>35</v>
      </c>
      <c r="IQ2" s="10" t="s">
        <v>35</v>
      </c>
      <c r="IR2" s="10" t="s">
        <v>36</v>
      </c>
      <c r="IS2" s="10" t="s">
        <v>37</v>
      </c>
      <c r="IT2" s="10" t="s">
        <v>32</v>
      </c>
      <c r="IU2" s="10" t="s">
        <v>33</v>
      </c>
      <c r="IV2" s="9" t="s">
        <v>34</v>
      </c>
      <c r="IW2" s="10" t="s">
        <v>35</v>
      </c>
      <c r="IX2" s="10" t="s">
        <v>35</v>
      </c>
      <c r="IY2" s="10" t="s">
        <v>36</v>
      </c>
      <c r="IZ2" s="10" t="s">
        <v>37</v>
      </c>
      <c r="JA2" s="10" t="s">
        <v>32</v>
      </c>
      <c r="JB2" s="10" t="s">
        <v>33</v>
      </c>
      <c r="JC2" s="9" t="s">
        <v>34</v>
      </c>
      <c r="JD2" s="10" t="s">
        <v>35</v>
      </c>
      <c r="JE2" s="10" t="s">
        <v>35</v>
      </c>
      <c r="JF2" s="10" t="s">
        <v>36</v>
      </c>
      <c r="JG2" s="10" t="s">
        <v>37</v>
      </c>
      <c r="JH2" s="10" t="s">
        <v>32</v>
      </c>
      <c r="JI2" s="10" t="s">
        <v>33</v>
      </c>
      <c r="JJ2" s="9" t="s">
        <v>34</v>
      </c>
      <c r="JK2" s="10" t="s">
        <v>35</v>
      </c>
      <c r="JL2" s="10" t="s">
        <v>35</v>
      </c>
      <c r="JM2" s="10" t="s">
        <v>36</v>
      </c>
      <c r="JN2" s="14" t="s">
        <v>37</v>
      </c>
      <c r="JO2" s="19" t="s">
        <v>32</v>
      </c>
      <c r="JP2" s="10" t="s">
        <v>33</v>
      </c>
      <c r="JQ2" s="9" t="s">
        <v>34</v>
      </c>
      <c r="JR2" s="10" t="s">
        <v>35</v>
      </c>
      <c r="JS2" s="10" t="s">
        <v>35</v>
      </c>
      <c r="JT2" s="10" t="s">
        <v>36</v>
      </c>
      <c r="JU2" s="10" t="s">
        <v>37</v>
      </c>
      <c r="JV2" s="10" t="s">
        <v>32</v>
      </c>
      <c r="JW2" s="10" t="s">
        <v>33</v>
      </c>
      <c r="JX2" s="9" t="s">
        <v>34</v>
      </c>
      <c r="JY2" s="10" t="s">
        <v>35</v>
      </c>
      <c r="JZ2" s="10" t="s">
        <v>35</v>
      </c>
      <c r="KA2" s="10" t="s">
        <v>36</v>
      </c>
      <c r="KB2" s="10" t="s">
        <v>37</v>
      </c>
      <c r="KC2" s="10" t="s">
        <v>32</v>
      </c>
      <c r="KD2" s="10" t="s">
        <v>33</v>
      </c>
      <c r="KE2" s="9" t="s">
        <v>34</v>
      </c>
      <c r="KF2" s="10" t="s">
        <v>35</v>
      </c>
      <c r="KG2" s="10" t="s">
        <v>35</v>
      </c>
      <c r="KH2" s="10" t="s">
        <v>36</v>
      </c>
      <c r="KI2" s="10" t="s">
        <v>37</v>
      </c>
      <c r="KJ2" s="10" t="s">
        <v>32</v>
      </c>
      <c r="KK2" s="10" t="s">
        <v>33</v>
      </c>
      <c r="KL2" s="9" t="s">
        <v>34</v>
      </c>
      <c r="KM2" s="10" t="s">
        <v>35</v>
      </c>
      <c r="KN2" s="10" t="s">
        <v>35</v>
      </c>
      <c r="KO2" s="10" t="s">
        <v>36</v>
      </c>
      <c r="KP2" s="10" t="s">
        <v>37</v>
      </c>
      <c r="KQ2" s="10" t="s">
        <v>32</v>
      </c>
      <c r="KR2" s="10" t="s">
        <v>33</v>
      </c>
      <c r="KS2" s="20" t="s">
        <v>34</v>
      </c>
      <c r="KT2" s="19" t="s">
        <v>35</v>
      </c>
      <c r="KU2" s="10" t="s">
        <v>35</v>
      </c>
      <c r="KV2" s="10" t="s">
        <v>36</v>
      </c>
      <c r="KW2" s="10" t="s">
        <v>37</v>
      </c>
      <c r="KX2" s="10" t="s">
        <v>32</v>
      </c>
      <c r="KY2" s="10" t="s">
        <v>33</v>
      </c>
      <c r="KZ2" s="9" t="s">
        <v>34</v>
      </c>
      <c r="LA2" s="10" t="s">
        <v>35</v>
      </c>
      <c r="LB2" s="10" t="s">
        <v>35</v>
      </c>
      <c r="LC2" s="10" t="s">
        <v>36</v>
      </c>
      <c r="LD2" s="10" t="s">
        <v>37</v>
      </c>
      <c r="LE2" s="10" t="s">
        <v>32</v>
      </c>
      <c r="LF2" s="10" t="s">
        <v>33</v>
      </c>
      <c r="LG2" s="9" t="s">
        <v>34</v>
      </c>
      <c r="LH2" s="10" t="s">
        <v>35</v>
      </c>
      <c r="LI2" s="10" t="s">
        <v>35</v>
      </c>
      <c r="LJ2" s="10" t="s">
        <v>36</v>
      </c>
      <c r="LK2" s="10" t="s">
        <v>37</v>
      </c>
      <c r="LL2" s="10" t="s">
        <v>32</v>
      </c>
      <c r="LM2" s="10" t="s">
        <v>33</v>
      </c>
      <c r="LN2" s="9" t="s">
        <v>34</v>
      </c>
      <c r="LO2" s="10" t="s">
        <v>35</v>
      </c>
      <c r="LP2" s="10" t="s">
        <v>35</v>
      </c>
      <c r="LQ2" s="10" t="s">
        <v>36</v>
      </c>
      <c r="LR2" s="10" t="s">
        <v>37</v>
      </c>
      <c r="LS2" s="10" t="s">
        <v>32</v>
      </c>
      <c r="LT2" s="10" t="s">
        <v>33</v>
      </c>
      <c r="LU2" s="9" t="s">
        <v>34</v>
      </c>
      <c r="LV2" s="10" t="s">
        <v>35</v>
      </c>
      <c r="LW2" s="14" t="s">
        <v>35</v>
      </c>
      <c r="LX2" s="19" t="s">
        <v>36</v>
      </c>
      <c r="LY2" s="10" t="s">
        <v>37</v>
      </c>
      <c r="LZ2" s="10" t="s">
        <v>32</v>
      </c>
      <c r="MA2" s="10" t="s">
        <v>33</v>
      </c>
      <c r="MB2" s="9" t="s">
        <v>34</v>
      </c>
      <c r="MC2" s="10" t="s">
        <v>35</v>
      </c>
      <c r="MD2" s="10" t="s">
        <v>35</v>
      </c>
      <c r="ME2" s="10" t="s">
        <v>36</v>
      </c>
      <c r="MF2" s="10" t="s">
        <v>37</v>
      </c>
      <c r="MG2" s="10" t="s">
        <v>32</v>
      </c>
      <c r="MH2" s="10" t="s">
        <v>33</v>
      </c>
      <c r="MI2" s="9" t="s">
        <v>34</v>
      </c>
      <c r="MJ2" s="10" t="s">
        <v>35</v>
      </c>
      <c r="MK2" s="10" t="s">
        <v>35</v>
      </c>
      <c r="ML2" s="10" t="s">
        <v>36</v>
      </c>
      <c r="MM2" s="10" t="s">
        <v>37</v>
      </c>
      <c r="MN2" s="10" t="s">
        <v>32</v>
      </c>
      <c r="MO2" s="10" t="s">
        <v>33</v>
      </c>
      <c r="MP2" s="9" t="s">
        <v>34</v>
      </c>
      <c r="MQ2" s="10" t="s">
        <v>35</v>
      </c>
      <c r="MR2" s="10" t="s">
        <v>35</v>
      </c>
      <c r="MS2" s="10" t="s">
        <v>36</v>
      </c>
      <c r="MT2" s="10" t="s">
        <v>37</v>
      </c>
      <c r="MU2" s="10" t="s">
        <v>32</v>
      </c>
      <c r="MV2" s="10" t="s">
        <v>33</v>
      </c>
      <c r="MW2" s="9" t="s">
        <v>34</v>
      </c>
      <c r="MX2" s="10" t="s">
        <v>35</v>
      </c>
      <c r="MY2" s="10" t="s">
        <v>35</v>
      </c>
      <c r="MZ2" s="10" t="s">
        <v>36</v>
      </c>
      <c r="NA2" s="10" t="s">
        <v>37</v>
      </c>
      <c r="NB2" s="18" t="s">
        <v>32</v>
      </c>
      <c r="NC2" s="145"/>
    </row>
    <row r="3" spans="1:386" s="1" customFormat="1" ht="16.5" thickBot="1" x14ac:dyDescent="0.3">
      <c r="A3" s="143"/>
      <c r="B3" s="15">
        <v>1</v>
      </c>
      <c r="C3" s="16">
        <v>2</v>
      </c>
      <c r="D3" s="16">
        <v>3</v>
      </c>
      <c r="E3" s="16">
        <v>4</v>
      </c>
      <c r="F3" s="16">
        <v>5</v>
      </c>
      <c r="G3" s="16">
        <v>6</v>
      </c>
      <c r="H3" s="16">
        <v>7</v>
      </c>
      <c r="I3" s="16">
        <v>8</v>
      </c>
      <c r="J3" s="16">
        <v>9</v>
      </c>
      <c r="K3" s="16">
        <v>10</v>
      </c>
      <c r="L3" s="16">
        <v>11</v>
      </c>
      <c r="M3" s="16">
        <v>12</v>
      </c>
      <c r="N3" s="16">
        <v>13</v>
      </c>
      <c r="O3" s="16">
        <v>14</v>
      </c>
      <c r="P3" s="16">
        <v>15</v>
      </c>
      <c r="Q3" s="16">
        <v>16</v>
      </c>
      <c r="R3" s="16">
        <v>17</v>
      </c>
      <c r="S3" s="16">
        <v>18</v>
      </c>
      <c r="T3" s="16">
        <v>19</v>
      </c>
      <c r="U3" s="16">
        <v>20</v>
      </c>
      <c r="V3" s="16">
        <v>21</v>
      </c>
      <c r="W3" s="16">
        <v>22</v>
      </c>
      <c r="X3" s="16">
        <v>23</v>
      </c>
      <c r="Y3" s="16">
        <v>24</v>
      </c>
      <c r="Z3" s="16">
        <v>25</v>
      </c>
      <c r="AA3" s="16">
        <v>26</v>
      </c>
      <c r="AB3" s="16">
        <v>27</v>
      </c>
      <c r="AC3" s="16">
        <v>28</v>
      </c>
      <c r="AD3" s="16">
        <v>29</v>
      </c>
      <c r="AE3" s="16">
        <v>30</v>
      </c>
      <c r="AF3" s="17">
        <v>31</v>
      </c>
      <c r="AG3" s="15">
        <v>1</v>
      </c>
      <c r="AH3" s="16">
        <v>2</v>
      </c>
      <c r="AI3" s="16">
        <v>3</v>
      </c>
      <c r="AJ3" s="16">
        <v>4</v>
      </c>
      <c r="AK3" s="16">
        <v>5</v>
      </c>
      <c r="AL3" s="16">
        <v>6</v>
      </c>
      <c r="AM3" s="16">
        <v>7</v>
      </c>
      <c r="AN3" s="16">
        <v>8</v>
      </c>
      <c r="AO3" s="16">
        <v>9</v>
      </c>
      <c r="AP3" s="16">
        <v>10</v>
      </c>
      <c r="AQ3" s="16">
        <v>11</v>
      </c>
      <c r="AR3" s="16">
        <v>12</v>
      </c>
      <c r="AS3" s="16">
        <v>13</v>
      </c>
      <c r="AT3" s="16">
        <v>14</v>
      </c>
      <c r="AU3" s="16">
        <v>15</v>
      </c>
      <c r="AV3" s="16">
        <v>16</v>
      </c>
      <c r="AW3" s="16">
        <v>17</v>
      </c>
      <c r="AX3" s="16">
        <v>18</v>
      </c>
      <c r="AY3" s="16">
        <v>19</v>
      </c>
      <c r="AZ3" s="16">
        <v>20</v>
      </c>
      <c r="BA3" s="16">
        <v>21</v>
      </c>
      <c r="BB3" s="16">
        <v>22</v>
      </c>
      <c r="BC3" s="16">
        <v>23</v>
      </c>
      <c r="BD3" s="16">
        <v>24</v>
      </c>
      <c r="BE3" s="16">
        <v>25</v>
      </c>
      <c r="BF3" s="16">
        <v>26</v>
      </c>
      <c r="BG3" s="16">
        <v>27</v>
      </c>
      <c r="BH3" s="17">
        <v>28</v>
      </c>
      <c r="BI3" s="15">
        <v>1</v>
      </c>
      <c r="BJ3" s="16">
        <v>2</v>
      </c>
      <c r="BK3" s="16">
        <v>3</v>
      </c>
      <c r="BL3" s="16">
        <v>4</v>
      </c>
      <c r="BM3" s="16">
        <v>5</v>
      </c>
      <c r="BN3" s="16">
        <v>6</v>
      </c>
      <c r="BO3" s="16">
        <v>7</v>
      </c>
      <c r="BP3" s="16">
        <v>8</v>
      </c>
      <c r="BQ3" s="16">
        <v>9</v>
      </c>
      <c r="BR3" s="16">
        <v>10</v>
      </c>
      <c r="BS3" s="16">
        <v>11</v>
      </c>
      <c r="BT3" s="16">
        <v>12</v>
      </c>
      <c r="BU3" s="16">
        <v>13</v>
      </c>
      <c r="BV3" s="16">
        <v>14</v>
      </c>
      <c r="BW3" s="16">
        <v>15</v>
      </c>
      <c r="BX3" s="16">
        <v>16</v>
      </c>
      <c r="BY3" s="16">
        <v>17</v>
      </c>
      <c r="BZ3" s="16">
        <v>18</v>
      </c>
      <c r="CA3" s="16">
        <v>19</v>
      </c>
      <c r="CB3" s="16">
        <v>20</v>
      </c>
      <c r="CC3" s="16">
        <v>21</v>
      </c>
      <c r="CD3" s="16">
        <v>22</v>
      </c>
      <c r="CE3" s="16">
        <v>23</v>
      </c>
      <c r="CF3" s="16">
        <v>24</v>
      </c>
      <c r="CG3" s="16">
        <v>25</v>
      </c>
      <c r="CH3" s="16">
        <v>26</v>
      </c>
      <c r="CI3" s="16">
        <v>27</v>
      </c>
      <c r="CJ3" s="16">
        <v>28</v>
      </c>
      <c r="CK3" s="16">
        <v>29</v>
      </c>
      <c r="CL3" s="16">
        <v>30</v>
      </c>
      <c r="CM3" s="17">
        <v>31</v>
      </c>
      <c r="CN3" s="15">
        <v>1</v>
      </c>
      <c r="CO3" s="16">
        <v>2</v>
      </c>
      <c r="CP3" s="16">
        <v>3</v>
      </c>
      <c r="CQ3" s="16">
        <v>4</v>
      </c>
      <c r="CR3" s="16">
        <v>5</v>
      </c>
      <c r="CS3" s="16">
        <v>6</v>
      </c>
      <c r="CT3" s="16">
        <v>7</v>
      </c>
      <c r="CU3" s="16">
        <v>8</v>
      </c>
      <c r="CV3" s="16">
        <v>9</v>
      </c>
      <c r="CW3" s="16">
        <v>10</v>
      </c>
      <c r="CX3" s="16">
        <v>11</v>
      </c>
      <c r="CY3" s="16">
        <v>12</v>
      </c>
      <c r="CZ3" s="16">
        <v>13</v>
      </c>
      <c r="DA3" s="16">
        <v>14</v>
      </c>
      <c r="DB3" s="16">
        <v>15</v>
      </c>
      <c r="DC3" s="16">
        <v>16</v>
      </c>
      <c r="DD3" s="16">
        <v>17</v>
      </c>
      <c r="DE3" s="16">
        <v>18</v>
      </c>
      <c r="DF3" s="16">
        <v>19</v>
      </c>
      <c r="DG3" s="16">
        <v>20</v>
      </c>
      <c r="DH3" s="16">
        <v>21</v>
      </c>
      <c r="DI3" s="16">
        <v>22</v>
      </c>
      <c r="DJ3" s="16">
        <v>23</v>
      </c>
      <c r="DK3" s="16">
        <v>24</v>
      </c>
      <c r="DL3" s="16">
        <v>25</v>
      </c>
      <c r="DM3" s="16">
        <v>26</v>
      </c>
      <c r="DN3" s="16">
        <v>27</v>
      </c>
      <c r="DO3" s="16">
        <v>28</v>
      </c>
      <c r="DP3" s="16">
        <v>29</v>
      </c>
      <c r="DQ3" s="17">
        <v>30</v>
      </c>
      <c r="DR3" s="15">
        <v>1</v>
      </c>
      <c r="DS3" s="16">
        <v>2</v>
      </c>
      <c r="DT3" s="16">
        <v>3</v>
      </c>
      <c r="DU3" s="16">
        <v>4</v>
      </c>
      <c r="DV3" s="16">
        <v>5</v>
      </c>
      <c r="DW3" s="16">
        <v>6</v>
      </c>
      <c r="DX3" s="16">
        <v>7</v>
      </c>
      <c r="DY3" s="16">
        <v>8</v>
      </c>
      <c r="DZ3" s="16">
        <v>9</v>
      </c>
      <c r="EA3" s="16">
        <v>10</v>
      </c>
      <c r="EB3" s="16">
        <v>11</v>
      </c>
      <c r="EC3" s="16">
        <v>12</v>
      </c>
      <c r="ED3" s="16">
        <v>13</v>
      </c>
      <c r="EE3" s="16">
        <v>14</v>
      </c>
      <c r="EF3" s="16">
        <v>15</v>
      </c>
      <c r="EG3" s="16">
        <v>16</v>
      </c>
      <c r="EH3" s="16">
        <v>17</v>
      </c>
      <c r="EI3" s="16">
        <v>18</v>
      </c>
      <c r="EJ3" s="16">
        <v>19</v>
      </c>
      <c r="EK3" s="16">
        <v>20</v>
      </c>
      <c r="EL3" s="16">
        <v>21</v>
      </c>
      <c r="EM3" s="16">
        <v>22</v>
      </c>
      <c r="EN3" s="16">
        <v>23</v>
      </c>
      <c r="EO3" s="16">
        <v>24</v>
      </c>
      <c r="EP3" s="16">
        <v>25</v>
      </c>
      <c r="EQ3" s="16">
        <v>26</v>
      </c>
      <c r="ER3" s="16">
        <v>27</v>
      </c>
      <c r="ES3" s="16">
        <v>28</v>
      </c>
      <c r="ET3" s="16">
        <v>29</v>
      </c>
      <c r="EU3" s="16">
        <v>30</v>
      </c>
      <c r="EV3" s="17">
        <v>31</v>
      </c>
      <c r="EW3" s="15">
        <v>1</v>
      </c>
      <c r="EX3" s="16">
        <v>2</v>
      </c>
      <c r="EY3" s="16">
        <v>3</v>
      </c>
      <c r="EZ3" s="16">
        <v>4</v>
      </c>
      <c r="FA3" s="16">
        <v>5</v>
      </c>
      <c r="FB3" s="16">
        <v>6</v>
      </c>
      <c r="FC3" s="16">
        <v>7</v>
      </c>
      <c r="FD3" s="16">
        <v>8</v>
      </c>
      <c r="FE3" s="16">
        <v>9</v>
      </c>
      <c r="FF3" s="16">
        <v>10</v>
      </c>
      <c r="FG3" s="16">
        <v>11</v>
      </c>
      <c r="FH3" s="16">
        <v>12</v>
      </c>
      <c r="FI3" s="16">
        <v>13</v>
      </c>
      <c r="FJ3" s="16">
        <v>14</v>
      </c>
      <c r="FK3" s="16">
        <v>15</v>
      </c>
      <c r="FL3" s="16">
        <v>16</v>
      </c>
      <c r="FM3" s="16">
        <v>17</v>
      </c>
      <c r="FN3" s="16">
        <v>18</v>
      </c>
      <c r="FO3" s="16">
        <v>19</v>
      </c>
      <c r="FP3" s="16">
        <v>20</v>
      </c>
      <c r="FQ3" s="16">
        <v>21</v>
      </c>
      <c r="FR3" s="16">
        <v>22</v>
      </c>
      <c r="FS3" s="16">
        <v>23</v>
      </c>
      <c r="FT3" s="16">
        <v>24</v>
      </c>
      <c r="FU3" s="16">
        <v>25</v>
      </c>
      <c r="FV3" s="16">
        <v>26</v>
      </c>
      <c r="FW3" s="16">
        <v>27</v>
      </c>
      <c r="FX3" s="16">
        <v>28</v>
      </c>
      <c r="FY3" s="16">
        <v>29</v>
      </c>
      <c r="FZ3" s="17">
        <v>30</v>
      </c>
      <c r="GA3" s="15">
        <v>1</v>
      </c>
      <c r="GB3" s="16">
        <v>2</v>
      </c>
      <c r="GC3" s="16">
        <v>3</v>
      </c>
      <c r="GD3" s="16">
        <v>4</v>
      </c>
      <c r="GE3" s="16">
        <v>5</v>
      </c>
      <c r="GF3" s="16">
        <v>6</v>
      </c>
      <c r="GG3" s="16">
        <v>7</v>
      </c>
      <c r="GH3" s="16">
        <v>8</v>
      </c>
      <c r="GI3" s="16">
        <v>9</v>
      </c>
      <c r="GJ3" s="16">
        <v>10</v>
      </c>
      <c r="GK3" s="16">
        <v>11</v>
      </c>
      <c r="GL3" s="16">
        <v>12</v>
      </c>
      <c r="GM3" s="16">
        <v>13</v>
      </c>
      <c r="GN3" s="16">
        <v>14</v>
      </c>
      <c r="GO3" s="16">
        <v>15</v>
      </c>
      <c r="GP3" s="16">
        <v>16</v>
      </c>
      <c r="GQ3" s="16">
        <v>17</v>
      </c>
      <c r="GR3" s="16">
        <v>18</v>
      </c>
      <c r="GS3" s="16">
        <v>19</v>
      </c>
      <c r="GT3" s="16">
        <v>20</v>
      </c>
      <c r="GU3" s="16">
        <v>21</v>
      </c>
      <c r="GV3" s="16">
        <v>22</v>
      </c>
      <c r="GW3" s="16">
        <v>23</v>
      </c>
      <c r="GX3" s="16">
        <v>24</v>
      </c>
      <c r="GY3" s="16">
        <v>25</v>
      </c>
      <c r="GZ3" s="16">
        <v>26</v>
      </c>
      <c r="HA3" s="16">
        <v>27</v>
      </c>
      <c r="HB3" s="16">
        <v>28</v>
      </c>
      <c r="HC3" s="16">
        <v>29</v>
      </c>
      <c r="HD3" s="16">
        <v>30</v>
      </c>
      <c r="HE3" s="17">
        <v>31</v>
      </c>
      <c r="HF3" s="15">
        <v>1</v>
      </c>
      <c r="HG3" s="16">
        <v>2</v>
      </c>
      <c r="HH3" s="16">
        <v>3</v>
      </c>
      <c r="HI3" s="16">
        <v>4</v>
      </c>
      <c r="HJ3" s="16">
        <v>5</v>
      </c>
      <c r="HK3" s="16">
        <v>6</v>
      </c>
      <c r="HL3" s="16">
        <v>7</v>
      </c>
      <c r="HM3" s="16">
        <v>8</v>
      </c>
      <c r="HN3" s="16">
        <v>9</v>
      </c>
      <c r="HO3" s="16">
        <v>10</v>
      </c>
      <c r="HP3" s="16">
        <v>11</v>
      </c>
      <c r="HQ3" s="16">
        <v>12</v>
      </c>
      <c r="HR3" s="16">
        <v>13</v>
      </c>
      <c r="HS3" s="16">
        <v>14</v>
      </c>
      <c r="HT3" s="16">
        <v>15</v>
      </c>
      <c r="HU3" s="16">
        <v>16</v>
      </c>
      <c r="HV3" s="16">
        <v>17</v>
      </c>
      <c r="HW3" s="16">
        <v>18</v>
      </c>
      <c r="HX3" s="16">
        <v>19</v>
      </c>
      <c r="HY3" s="16">
        <v>20</v>
      </c>
      <c r="HZ3" s="16">
        <v>21</v>
      </c>
      <c r="IA3" s="16">
        <v>22</v>
      </c>
      <c r="IB3" s="16">
        <v>23</v>
      </c>
      <c r="IC3" s="16">
        <v>24</v>
      </c>
      <c r="ID3" s="16">
        <v>25</v>
      </c>
      <c r="IE3" s="16">
        <v>26</v>
      </c>
      <c r="IF3" s="16">
        <v>27</v>
      </c>
      <c r="IG3" s="16">
        <v>28</v>
      </c>
      <c r="IH3" s="16">
        <v>29</v>
      </c>
      <c r="II3" s="16">
        <v>30</v>
      </c>
      <c r="IJ3" s="17">
        <v>31</v>
      </c>
      <c r="IK3" s="15">
        <v>1</v>
      </c>
      <c r="IL3" s="16">
        <v>2</v>
      </c>
      <c r="IM3" s="16">
        <v>3</v>
      </c>
      <c r="IN3" s="16">
        <v>4</v>
      </c>
      <c r="IO3" s="16">
        <v>5</v>
      </c>
      <c r="IP3" s="16">
        <v>6</v>
      </c>
      <c r="IQ3" s="16">
        <v>7</v>
      </c>
      <c r="IR3" s="16">
        <v>8</v>
      </c>
      <c r="IS3" s="16">
        <v>9</v>
      </c>
      <c r="IT3" s="16">
        <v>10</v>
      </c>
      <c r="IU3" s="16">
        <v>11</v>
      </c>
      <c r="IV3" s="16">
        <v>12</v>
      </c>
      <c r="IW3" s="16">
        <v>13</v>
      </c>
      <c r="IX3" s="16">
        <v>14</v>
      </c>
      <c r="IY3" s="16">
        <v>15</v>
      </c>
      <c r="IZ3" s="16">
        <v>16</v>
      </c>
      <c r="JA3" s="16">
        <v>17</v>
      </c>
      <c r="JB3" s="16">
        <v>18</v>
      </c>
      <c r="JC3" s="16">
        <v>19</v>
      </c>
      <c r="JD3" s="16">
        <v>20</v>
      </c>
      <c r="JE3" s="16">
        <v>21</v>
      </c>
      <c r="JF3" s="16">
        <v>22</v>
      </c>
      <c r="JG3" s="16">
        <v>23</v>
      </c>
      <c r="JH3" s="16">
        <v>24</v>
      </c>
      <c r="JI3" s="16">
        <v>25</v>
      </c>
      <c r="JJ3" s="16">
        <v>26</v>
      </c>
      <c r="JK3" s="16">
        <v>27</v>
      </c>
      <c r="JL3" s="16">
        <v>28</v>
      </c>
      <c r="JM3" s="16">
        <v>29</v>
      </c>
      <c r="JN3" s="17">
        <v>30</v>
      </c>
      <c r="JO3" s="15">
        <v>1</v>
      </c>
      <c r="JP3" s="16">
        <v>2</v>
      </c>
      <c r="JQ3" s="16">
        <v>3</v>
      </c>
      <c r="JR3" s="16">
        <v>4</v>
      </c>
      <c r="JS3" s="16">
        <v>5</v>
      </c>
      <c r="JT3" s="16">
        <v>6</v>
      </c>
      <c r="JU3" s="16">
        <v>7</v>
      </c>
      <c r="JV3" s="16">
        <v>8</v>
      </c>
      <c r="JW3" s="16">
        <v>9</v>
      </c>
      <c r="JX3" s="16">
        <v>10</v>
      </c>
      <c r="JY3" s="16">
        <v>11</v>
      </c>
      <c r="JZ3" s="16">
        <v>12</v>
      </c>
      <c r="KA3" s="16">
        <v>13</v>
      </c>
      <c r="KB3" s="16">
        <v>14</v>
      </c>
      <c r="KC3" s="16">
        <v>15</v>
      </c>
      <c r="KD3" s="16">
        <v>16</v>
      </c>
      <c r="KE3" s="16">
        <v>17</v>
      </c>
      <c r="KF3" s="16">
        <v>18</v>
      </c>
      <c r="KG3" s="16">
        <v>19</v>
      </c>
      <c r="KH3" s="16">
        <v>20</v>
      </c>
      <c r="KI3" s="16">
        <v>21</v>
      </c>
      <c r="KJ3" s="16">
        <v>22</v>
      </c>
      <c r="KK3" s="16">
        <v>23</v>
      </c>
      <c r="KL3" s="16">
        <v>24</v>
      </c>
      <c r="KM3" s="16">
        <v>25</v>
      </c>
      <c r="KN3" s="16">
        <v>26</v>
      </c>
      <c r="KO3" s="16">
        <v>27</v>
      </c>
      <c r="KP3" s="16">
        <v>28</v>
      </c>
      <c r="KQ3" s="16">
        <v>29</v>
      </c>
      <c r="KR3" s="16">
        <v>30</v>
      </c>
      <c r="KS3" s="17">
        <v>31</v>
      </c>
      <c r="KT3" s="15">
        <v>1</v>
      </c>
      <c r="KU3" s="16">
        <v>2</v>
      </c>
      <c r="KV3" s="16">
        <v>3</v>
      </c>
      <c r="KW3" s="16">
        <v>4</v>
      </c>
      <c r="KX3" s="16">
        <v>5</v>
      </c>
      <c r="KY3" s="16">
        <v>6</v>
      </c>
      <c r="KZ3" s="16">
        <v>7</v>
      </c>
      <c r="LA3" s="16">
        <v>8</v>
      </c>
      <c r="LB3" s="16">
        <v>9</v>
      </c>
      <c r="LC3" s="16">
        <v>10</v>
      </c>
      <c r="LD3" s="16">
        <v>11</v>
      </c>
      <c r="LE3" s="16">
        <v>12</v>
      </c>
      <c r="LF3" s="16">
        <v>13</v>
      </c>
      <c r="LG3" s="16">
        <v>14</v>
      </c>
      <c r="LH3" s="16">
        <v>15</v>
      </c>
      <c r="LI3" s="16">
        <v>16</v>
      </c>
      <c r="LJ3" s="16">
        <v>17</v>
      </c>
      <c r="LK3" s="16">
        <v>18</v>
      </c>
      <c r="LL3" s="16">
        <v>19</v>
      </c>
      <c r="LM3" s="16">
        <v>20</v>
      </c>
      <c r="LN3" s="16">
        <v>21</v>
      </c>
      <c r="LO3" s="16">
        <v>22</v>
      </c>
      <c r="LP3" s="16">
        <v>23</v>
      </c>
      <c r="LQ3" s="16">
        <v>24</v>
      </c>
      <c r="LR3" s="16">
        <v>25</v>
      </c>
      <c r="LS3" s="16">
        <v>26</v>
      </c>
      <c r="LT3" s="16">
        <v>27</v>
      </c>
      <c r="LU3" s="16">
        <v>28</v>
      </c>
      <c r="LV3" s="16">
        <v>29</v>
      </c>
      <c r="LW3" s="17">
        <v>30</v>
      </c>
      <c r="LX3" s="15">
        <v>1</v>
      </c>
      <c r="LY3" s="16">
        <v>2</v>
      </c>
      <c r="LZ3" s="16">
        <v>3</v>
      </c>
      <c r="MA3" s="16">
        <v>4</v>
      </c>
      <c r="MB3" s="16">
        <v>5</v>
      </c>
      <c r="MC3" s="16">
        <v>6</v>
      </c>
      <c r="MD3" s="16">
        <v>7</v>
      </c>
      <c r="ME3" s="16">
        <v>8</v>
      </c>
      <c r="MF3" s="16">
        <v>9</v>
      </c>
      <c r="MG3" s="16">
        <v>10</v>
      </c>
      <c r="MH3" s="16">
        <v>11</v>
      </c>
      <c r="MI3" s="16">
        <v>12</v>
      </c>
      <c r="MJ3" s="16">
        <v>13</v>
      </c>
      <c r="MK3" s="16">
        <v>14</v>
      </c>
      <c r="ML3" s="16">
        <v>15</v>
      </c>
      <c r="MM3" s="16">
        <v>16</v>
      </c>
      <c r="MN3" s="16">
        <v>17</v>
      </c>
      <c r="MO3" s="16">
        <v>18</v>
      </c>
      <c r="MP3" s="16">
        <v>19</v>
      </c>
      <c r="MQ3" s="16">
        <v>20</v>
      </c>
      <c r="MR3" s="16">
        <v>21</v>
      </c>
      <c r="MS3" s="16">
        <v>22</v>
      </c>
      <c r="MT3" s="16">
        <v>23</v>
      </c>
      <c r="MU3" s="16">
        <v>24</v>
      </c>
      <c r="MV3" s="16">
        <v>25</v>
      </c>
      <c r="MW3" s="16">
        <v>26</v>
      </c>
      <c r="MX3" s="16">
        <v>27</v>
      </c>
      <c r="MY3" s="16">
        <v>28</v>
      </c>
      <c r="MZ3" s="16">
        <v>29</v>
      </c>
      <c r="NA3" s="16">
        <v>30</v>
      </c>
      <c r="NB3" s="35">
        <v>31</v>
      </c>
      <c r="NC3" s="146"/>
    </row>
    <row r="4" spans="1:386" x14ac:dyDescent="0.25">
      <c r="A4" s="44" t="s">
        <v>9</v>
      </c>
      <c r="B4" s="41"/>
      <c r="C4" s="12"/>
      <c r="D4" s="12"/>
      <c r="E4" s="108" t="s">
        <v>103</v>
      </c>
      <c r="F4" s="108" t="s">
        <v>103</v>
      </c>
      <c r="G4" s="108" t="s">
        <v>103</v>
      </c>
      <c r="H4" s="108" t="s">
        <v>103</v>
      </c>
      <c r="I4" s="108" t="s">
        <v>103</v>
      </c>
      <c r="J4" s="126"/>
      <c r="K4" s="126"/>
      <c r="L4" s="126"/>
      <c r="M4" s="126"/>
      <c r="N4" s="126"/>
      <c r="O4" s="126"/>
      <c r="P4" s="126"/>
      <c r="Q4" s="12"/>
      <c r="R4" s="12"/>
      <c r="S4" s="12"/>
      <c r="T4" s="12"/>
      <c r="U4" s="12"/>
      <c r="V4" s="12"/>
      <c r="W4" s="12"/>
      <c r="X4" s="12"/>
      <c r="Y4" s="12"/>
      <c r="Z4" s="12"/>
      <c r="AA4" s="12"/>
      <c r="AB4" s="12"/>
      <c r="AC4" s="12"/>
      <c r="AD4" s="12"/>
      <c r="AE4" s="12"/>
      <c r="AF4" s="13"/>
      <c r="AG4" s="11"/>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1"/>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3"/>
      <c r="CN4" s="107" t="s">
        <v>97</v>
      </c>
      <c r="CO4" s="108" t="s">
        <v>97</v>
      </c>
      <c r="CP4" s="108" t="s">
        <v>97</v>
      </c>
      <c r="CQ4" s="108" t="s">
        <v>97</v>
      </c>
      <c r="CR4" s="108" t="s">
        <v>97</v>
      </c>
      <c r="CS4" s="108" t="s">
        <v>97</v>
      </c>
      <c r="CT4" s="108" t="s">
        <v>97</v>
      </c>
      <c r="CU4" s="108" t="s">
        <v>97</v>
      </c>
      <c r="CV4" s="12"/>
      <c r="CW4" s="12"/>
      <c r="CX4" s="12"/>
      <c r="CY4" s="12"/>
      <c r="CZ4" s="12"/>
      <c r="DA4" s="12"/>
      <c r="DB4" s="12"/>
      <c r="DC4" s="12"/>
      <c r="DD4" s="12"/>
      <c r="DE4" s="12"/>
      <c r="DF4" s="12"/>
      <c r="DG4" s="12"/>
      <c r="DH4" s="12"/>
      <c r="DI4" s="12"/>
      <c r="DJ4" s="12"/>
      <c r="DK4" s="12"/>
      <c r="DL4" s="12"/>
      <c r="DM4" s="12"/>
      <c r="DN4" s="12"/>
      <c r="DO4" s="12"/>
      <c r="DP4" s="12"/>
      <c r="DQ4" s="12"/>
      <c r="DR4" s="11"/>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3"/>
      <c r="EW4" s="11"/>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1"/>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3"/>
      <c r="HF4" s="11"/>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3"/>
      <c r="IK4" s="11"/>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1"/>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3"/>
      <c r="KT4" s="11"/>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1"/>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3"/>
      <c r="NC4" s="37" cm="1">
        <f t="array" aca="1" ref="NC4" ca="1">nbColor(B4:NB4)</f>
        <v>0</v>
      </c>
    </row>
    <row r="5" spans="1:386" x14ac:dyDescent="0.25">
      <c r="A5" s="22" t="s">
        <v>5</v>
      </c>
      <c r="B5" s="42"/>
      <c r="C5" s="2"/>
      <c r="D5" s="2"/>
      <c r="E5" s="103"/>
      <c r="F5" s="103"/>
      <c r="G5" s="103"/>
      <c r="H5" s="103"/>
      <c r="I5" s="103"/>
      <c r="J5" s="126"/>
      <c r="K5" s="103"/>
      <c r="L5" s="103"/>
      <c r="M5" s="103"/>
      <c r="N5" s="103"/>
      <c r="O5" s="103"/>
      <c r="P5" s="103"/>
      <c r="Q5" s="2"/>
      <c r="R5" s="2"/>
      <c r="S5" s="2"/>
      <c r="T5" s="2"/>
      <c r="U5" s="2"/>
      <c r="V5" s="2"/>
      <c r="W5" s="2"/>
      <c r="X5" s="2"/>
      <c r="Y5" s="2"/>
      <c r="Z5" s="2"/>
      <c r="AA5" s="2"/>
      <c r="AB5" s="2"/>
      <c r="AC5" s="2"/>
      <c r="AD5" s="2"/>
      <c r="AE5" s="2"/>
      <c r="AF5" s="5"/>
      <c r="AG5" s="3"/>
      <c r="AH5" s="2"/>
      <c r="AI5" s="2"/>
      <c r="AJ5" s="2"/>
      <c r="AK5" s="2"/>
      <c r="AL5" s="2"/>
      <c r="AM5" s="2"/>
      <c r="AN5" s="2"/>
      <c r="AO5" s="2"/>
      <c r="AP5" s="2"/>
      <c r="AQ5" s="2"/>
      <c r="AR5" s="2"/>
      <c r="AS5" s="2"/>
      <c r="AT5" s="2"/>
      <c r="AU5" s="2"/>
      <c r="AV5" s="2"/>
      <c r="AW5" s="2"/>
      <c r="AX5" s="2"/>
      <c r="AY5" s="2"/>
      <c r="AZ5" s="2"/>
      <c r="BA5" s="2"/>
      <c r="BB5" s="2"/>
      <c r="BC5" s="2"/>
      <c r="BD5" s="2"/>
      <c r="BE5" s="2"/>
      <c r="BF5" s="2"/>
      <c r="BG5" s="2"/>
      <c r="BH5" s="2"/>
      <c r="BI5" s="3"/>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5"/>
      <c r="CN5" s="109" t="s">
        <v>101</v>
      </c>
      <c r="CO5" s="110" t="s">
        <v>101</v>
      </c>
      <c r="CP5" s="110" t="s">
        <v>101</v>
      </c>
      <c r="CQ5" s="110" t="s">
        <v>101</v>
      </c>
      <c r="CR5" s="110" t="s">
        <v>101</v>
      </c>
      <c r="CS5" s="110" t="s">
        <v>101</v>
      </c>
      <c r="CT5" s="110" t="s">
        <v>101</v>
      </c>
      <c r="CU5" s="2"/>
      <c r="CV5" s="2"/>
      <c r="CW5" s="2"/>
      <c r="CX5" s="2"/>
      <c r="CY5" s="2"/>
      <c r="CZ5" s="2"/>
      <c r="DA5" s="2"/>
      <c r="DB5" s="2"/>
      <c r="DC5" s="2"/>
      <c r="DD5" s="2"/>
      <c r="DE5" s="2"/>
      <c r="DF5" s="2"/>
      <c r="DG5" s="2"/>
      <c r="DH5" s="2"/>
      <c r="DI5" s="2"/>
      <c r="DJ5" s="2"/>
      <c r="DK5" s="2"/>
      <c r="DL5" s="2"/>
      <c r="DM5" s="2"/>
      <c r="DN5" s="2"/>
      <c r="DO5" s="2"/>
      <c r="DP5" s="2"/>
      <c r="DQ5" s="2"/>
      <c r="DR5" s="3"/>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5"/>
      <c r="EW5" s="3"/>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3"/>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5"/>
      <c r="HF5" s="3"/>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5"/>
      <c r="IK5" s="3"/>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3"/>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5"/>
      <c r="KT5" s="3"/>
      <c r="KU5" s="2"/>
      <c r="KV5" s="2"/>
      <c r="KW5" s="2"/>
      <c r="KX5" s="2"/>
      <c r="KY5" s="2"/>
      <c r="KZ5" s="2"/>
      <c r="LA5" s="2"/>
      <c r="LB5" s="2"/>
      <c r="LC5" s="2"/>
      <c r="LD5" s="2"/>
      <c r="LE5" s="2"/>
      <c r="LF5" s="2"/>
      <c r="LG5" s="2"/>
      <c r="LH5" s="2"/>
      <c r="LI5" s="2"/>
      <c r="LJ5" s="2"/>
      <c r="LK5" s="2"/>
      <c r="LL5" s="2"/>
      <c r="LM5" s="2"/>
      <c r="LN5" s="2"/>
      <c r="LO5" s="2"/>
      <c r="LP5" s="2"/>
      <c r="LQ5" s="2"/>
      <c r="LR5" s="2"/>
      <c r="LS5" s="2"/>
      <c r="LT5" s="2"/>
      <c r="LU5" s="2"/>
      <c r="LV5" s="103"/>
      <c r="LW5" s="103"/>
      <c r="LX5" s="106"/>
      <c r="LY5" s="103"/>
      <c r="LZ5" s="103"/>
      <c r="MA5" s="103"/>
      <c r="MB5" s="103"/>
      <c r="MC5" s="103"/>
      <c r="MD5" s="103"/>
      <c r="ME5" s="103"/>
      <c r="MF5" s="103"/>
      <c r="MG5" s="103"/>
      <c r="MH5" s="103"/>
      <c r="MI5" s="103"/>
      <c r="MJ5" s="103"/>
      <c r="MK5" s="103"/>
      <c r="ML5" s="103"/>
      <c r="MM5" s="103"/>
      <c r="MN5" s="103"/>
      <c r="MO5" s="103"/>
      <c r="MP5" s="103"/>
      <c r="MQ5" s="103"/>
      <c r="MR5" s="2"/>
      <c r="MS5" s="2"/>
      <c r="MT5" s="2"/>
      <c r="MU5" s="2"/>
      <c r="MV5" s="2"/>
      <c r="MW5" s="2"/>
      <c r="MX5" s="2"/>
      <c r="MY5" s="2"/>
      <c r="MZ5" s="2"/>
      <c r="NA5" s="2"/>
      <c r="NB5" s="5"/>
      <c r="NC5" s="104" cm="1">
        <f t="array" aca="1" ref="NC5" ca="1">nbColor(B5:NB5)</f>
        <v>0</v>
      </c>
    </row>
    <row r="6" spans="1:386" x14ac:dyDescent="0.25">
      <c r="A6" s="23" t="s">
        <v>17</v>
      </c>
      <c r="B6" s="42"/>
      <c r="C6" s="2"/>
      <c r="D6" s="2"/>
      <c r="E6" s="103"/>
      <c r="F6" s="103"/>
      <c r="G6" s="103"/>
      <c r="H6" s="103"/>
      <c r="I6" s="103"/>
      <c r="J6" s="126"/>
      <c r="K6" s="103"/>
      <c r="L6" s="103"/>
      <c r="M6" s="103"/>
      <c r="N6" s="103"/>
      <c r="O6" s="103"/>
      <c r="P6" s="103"/>
      <c r="Q6" s="2"/>
      <c r="R6" s="2"/>
      <c r="S6" s="2"/>
      <c r="T6" s="2"/>
      <c r="U6" s="2"/>
      <c r="V6" s="2"/>
      <c r="W6" s="2"/>
      <c r="X6" s="2"/>
      <c r="Y6" s="2"/>
      <c r="Z6" s="2"/>
      <c r="AA6" s="2"/>
      <c r="AB6" s="2"/>
      <c r="AC6" s="2"/>
      <c r="AD6" s="2"/>
      <c r="AE6" s="2"/>
      <c r="AF6" s="5"/>
      <c r="AG6" s="3"/>
      <c r="AH6" s="2"/>
      <c r="AI6" s="2"/>
      <c r="AJ6" s="2"/>
      <c r="AK6" s="2"/>
      <c r="AL6" s="2"/>
      <c r="AM6" s="2"/>
      <c r="AN6" s="2"/>
      <c r="AO6" s="2"/>
      <c r="AP6" s="2"/>
      <c r="AQ6" s="2"/>
      <c r="AR6" s="2"/>
      <c r="AS6" s="2"/>
      <c r="AT6" s="2"/>
      <c r="AU6" s="2"/>
      <c r="AV6" s="2"/>
      <c r="AW6" s="2"/>
      <c r="AX6" s="2"/>
      <c r="AY6" s="2"/>
      <c r="AZ6" s="2"/>
      <c r="BA6" s="2"/>
      <c r="BB6" s="2"/>
      <c r="BC6" s="2"/>
      <c r="BD6" s="2"/>
      <c r="BE6" s="2"/>
      <c r="BF6" s="2"/>
      <c r="BG6" s="2"/>
      <c r="BH6" s="2"/>
      <c r="BI6" s="3"/>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5"/>
      <c r="CN6" s="3"/>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3"/>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5"/>
      <c r="EW6" s="3"/>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3"/>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5"/>
      <c r="HF6" s="3"/>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5"/>
      <c r="IK6" s="3"/>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3"/>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5"/>
      <c r="KT6" s="3"/>
      <c r="KU6" s="2"/>
      <c r="KV6" s="2"/>
      <c r="KW6" s="2"/>
      <c r="KX6" s="2"/>
      <c r="KY6" s="2"/>
      <c r="KZ6" s="2"/>
      <c r="LA6" s="2"/>
      <c r="LB6" s="2"/>
      <c r="LC6" s="2"/>
      <c r="LD6" s="2"/>
      <c r="LE6" s="2"/>
      <c r="LF6" s="2"/>
      <c r="LG6" s="2"/>
      <c r="LH6" s="2"/>
      <c r="LI6" s="2"/>
      <c r="LJ6" s="2"/>
      <c r="LK6" s="2"/>
      <c r="LL6" s="2"/>
      <c r="LM6" s="2"/>
      <c r="LN6" s="2"/>
      <c r="LO6" s="2"/>
      <c r="LP6" s="2"/>
      <c r="LQ6" s="2"/>
      <c r="LR6" s="2"/>
      <c r="LS6" s="2"/>
      <c r="LT6" s="2"/>
      <c r="LU6" s="2"/>
      <c r="LV6" s="103"/>
      <c r="LW6" s="103"/>
      <c r="LX6" s="106"/>
      <c r="LY6" s="103"/>
      <c r="LZ6" s="103"/>
      <c r="MA6" s="103"/>
      <c r="MB6" s="103"/>
      <c r="MC6" s="103"/>
      <c r="MD6" s="103"/>
      <c r="ME6" s="103"/>
      <c r="MF6" s="103"/>
      <c r="MG6" s="103"/>
      <c r="MH6" s="103"/>
      <c r="MI6" s="103"/>
      <c r="MJ6" s="103"/>
      <c r="MK6" s="103"/>
      <c r="ML6" s="103"/>
      <c r="MM6" s="103"/>
      <c r="MN6" s="103"/>
      <c r="MO6" s="103"/>
      <c r="MP6" s="103"/>
      <c r="MQ6" s="2"/>
      <c r="MR6" s="2"/>
      <c r="MS6" s="2"/>
      <c r="MT6" s="2"/>
      <c r="MU6" s="2"/>
      <c r="MV6" s="2"/>
      <c r="MW6" s="2"/>
      <c r="MX6" s="2"/>
      <c r="MY6" s="2"/>
      <c r="MZ6" s="2"/>
      <c r="NA6" s="2"/>
      <c r="NB6" s="5"/>
      <c r="NC6" s="37" cm="1">
        <f t="array" aca="1" ref="NC6" ca="1">nbColor(B6:NB6)</f>
        <v>0</v>
      </c>
    </row>
    <row r="7" spans="1:386" x14ac:dyDescent="0.25">
      <c r="A7" s="23" t="s">
        <v>1</v>
      </c>
      <c r="B7" s="42"/>
      <c r="C7" s="2"/>
      <c r="D7" s="110" t="s">
        <v>97</v>
      </c>
      <c r="E7" s="110" t="s">
        <v>97</v>
      </c>
      <c r="F7" s="110" t="s">
        <v>97</v>
      </c>
      <c r="G7" s="110"/>
      <c r="H7" s="110"/>
      <c r="I7" s="110"/>
      <c r="J7" s="108"/>
      <c r="K7" s="110"/>
      <c r="L7" s="110"/>
      <c r="M7" s="110"/>
      <c r="N7" s="110"/>
      <c r="O7" s="110"/>
      <c r="P7" s="110"/>
      <c r="Q7" s="110"/>
      <c r="R7" s="110"/>
      <c r="S7" s="110"/>
      <c r="T7" s="110"/>
      <c r="U7" s="110"/>
      <c r="V7" s="110"/>
      <c r="W7" s="110"/>
      <c r="X7" s="2"/>
      <c r="Y7" s="2"/>
      <c r="Z7" s="2"/>
      <c r="AA7" s="2"/>
      <c r="AB7" s="2"/>
      <c r="AC7" s="2"/>
      <c r="AD7" s="2"/>
      <c r="AE7" s="2"/>
      <c r="AF7" s="5"/>
      <c r="AG7" s="3"/>
      <c r="AH7" s="2"/>
      <c r="AI7" s="2"/>
      <c r="AJ7" s="2"/>
      <c r="AK7" s="2"/>
      <c r="AL7" s="2"/>
      <c r="AM7" s="2"/>
      <c r="AN7" s="2"/>
      <c r="AO7" s="2"/>
      <c r="AP7" s="2"/>
      <c r="AQ7" s="2"/>
      <c r="AR7" s="2"/>
      <c r="AS7" s="2"/>
      <c r="AT7" s="2"/>
      <c r="AU7" s="2"/>
      <c r="AV7" s="2"/>
      <c r="AW7" s="2"/>
      <c r="AX7" s="2"/>
      <c r="AY7" s="2"/>
      <c r="AZ7" s="2"/>
      <c r="BA7" s="2"/>
      <c r="BB7" s="2"/>
      <c r="BC7" s="2"/>
      <c r="BD7" s="2"/>
      <c r="BE7" s="2"/>
      <c r="BF7" s="2"/>
      <c r="BG7" s="2"/>
      <c r="BH7" s="2"/>
      <c r="BI7" s="3"/>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5"/>
      <c r="CN7" s="3"/>
      <c r="CO7" s="2"/>
      <c r="CP7" s="2"/>
      <c r="CQ7" s="110" t="s">
        <v>95</v>
      </c>
      <c r="CR7" s="110" t="s">
        <v>95</v>
      </c>
      <c r="CS7" s="110" t="s">
        <v>95</v>
      </c>
      <c r="CT7" s="110" t="s">
        <v>95</v>
      </c>
      <c r="CU7" s="110" t="s">
        <v>95</v>
      </c>
      <c r="CV7" s="110" t="s">
        <v>95</v>
      </c>
      <c r="CW7" s="2"/>
      <c r="CX7" s="2"/>
      <c r="CY7" s="2"/>
      <c r="CZ7" s="2"/>
      <c r="DA7" s="2"/>
      <c r="DB7" s="2"/>
      <c r="DC7" s="2"/>
      <c r="DD7" s="2"/>
      <c r="DE7" s="2"/>
      <c r="DF7" s="2"/>
      <c r="DG7" s="2"/>
      <c r="DH7" s="2"/>
      <c r="DI7" s="2"/>
      <c r="DJ7" s="2"/>
      <c r="DK7" s="2"/>
      <c r="DL7" s="2"/>
      <c r="DM7" s="2"/>
      <c r="DN7" s="2"/>
      <c r="DO7" s="2"/>
      <c r="DP7" s="2"/>
      <c r="DQ7" s="2"/>
      <c r="DR7" s="3"/>
      <c r="DS7" s="2"/>
      <c r="DT7" s="2"/>
      <c r="DU7" s="2"/>
      <c r="DV7" s="2"/>
      <c r="DW7" s="2"/>
      <c r="DX7" s="2"/>
      <c r="DY7" s="2"/>
      <c r="DZ7" s="2"/>
      <c r="EA7" s="2"/>
      <c r="EB7" s="2"/>
      <c r="EC7" s="2"/>
      <c r="ED7" s="2"/>
      <c r="EE7" s="2"/>
      <c r="EF7" s="2"/>
      <c r="EG7" s="110"/>
      <c r="EH7" s="110"/>
      <c r="EI7" s="110"/>
      <c r="EJ7" s="110"/>
      <c r="EK7" s="110"/>
      <c r="EL7" s="110"/>
      <c r="EM7" s="110"/>
      <c r="EN7" s="110"/>
      <c r="EO7" s="110"/>
      <c r="EP7" s="110"/>
      <c r="EQ7" s="110"/>
      <c r="ER7" s="110"/>
      <c r="ES7" s="110"/>
      <c r="ET7" s="110"/>
      <c r="EU7" s="110"/>
      <c r="EV7" s="127"/>
      <c r="EW7" s="109"/>
      <c r="EX7" s="110"/>
      <c r="EY7" s="110"/>
      <c r="EZ7" s="110"/>
      <c r="FA7" s="110"/>
      <c r="FB7" s="110"/>
      <c r="FC7" s="110"/>
      <c r="FD7" s="110"/>
      <c r="FE7" s="110"/>
      <c r="FF7" s="110"/>
      <c r="FG7" s="2"/>
      <c r="FH7" s="2"/>
      <c r="FI7" s="2"/>
      <c r="FJ7" s="2"/>
      <c r="FK7" s="2"/>
      <c r="FL7" s="2"/>
      <c r="FM7" s="2"/>
      <c r="FN7" s="2"/>
      <c r="FO7" s="2"/>
      <c r="FP7" s="2"/>
      <c r="FQ7" s="2"/>
      <c r="FR7" s="2"/>
      <c r="FS7" s="2"/>
      <c r="FT7" s="2"/>
      <c r="FU7" s="2"/>
      <c r="FV7" s="2"/>
      <c r="FW7" s="2"/>
      <c r="FX7" s="2"/>
      <c r="FY7" s="2"/>
      <c r="FZ7" s="2"/>
      <c r="GA7" s="3"/>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5"/>
      <c r="HF7" s="3"/>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5"/>
      <c r="IK7" s="3"/>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3"/>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5"/>
      <c r="KT7" s="3"/>
      <c r="KU7" s="2"/>
      <c r="KV7" s="2"/>
      <c r="KW7" s="2"/>
      <c r="KX7" s="2"/>
      <c r="KY7" s="2"/>
      <c r="KZ7" s="2"/>
      <c r="LA7" s="2"/>
      <c r="LB7" s="2"/>
      <c r="LC7" s="2"/>
      <c r="LD7" s="2"/>
      <c r="LE7" s="2"/>
      <c r="LF7" s="2"/>
      <c r="LG7" s="2"/>
      <c r="LH7" s="2"/>
      <c r="LI7" s="2"/>
      <c r="LJ7" s="2"/>
      <c r="LK7" s="2"/>
      <c r="LL7" s="2"/>
      <c r="LM7" s="2"/>
      <c r="LN7" s="2"/>
      <c r="LO7" s="2"/>
      <c r="LP7" s="2"/>
      <c r="LQ7" s="2"/>
      <c r="LR7" s="2"/>
      <c r="LS7" s="2"/>
      <c r="LT7" s="2"/>
      <c r="LU7" s="2"/>
      <c r="LV7" s="103"/>
      <c r="LW7" s="103"/>
      <c r="LX7" s="106"/>
      <c r="LY7" s="103"/>
      <c r="LZ7" s="103"/>
      <c r="MA7" s="103"/>
      <c r="MB7" s="103"/>
      <c r="MC7" s="103"/>
      <c r="MD7" s="103"/>
      <c r="ME7" s="103"/>
      <c r="MF7" s="103"/>
      <c r="MG7" s="103"/>
      <c r="MH7" s="103"/>
      <c r="MI7" s="103"/>
      <c r="MJ7" s="103"/>
      <c r="MK7" s="103"/>
      <c r="ML7" s="103"/>
      <c r="MM7" s="103"/>
      <c r="MN7" s="103"/>
      <c r="MO7" s="103"/>
      <c r="MP7" s="103"/>
      <c r="MQ7" s="2"/>
      <c r="MR7" s="2"/>
      <c r="MS7" s="2"/>
      <c r="MT7" s="2"/>
      <c r="MU7" s="2"/>
      <c r="MV7" s="2"/>
      <c r="MW7" s="2"/>
      <c r="MX7" s="2"/>
      <c r="MY7" s="2"/>
      <c r="MZ7" s="2"/>
      <c r="NA7" s="2"/>
      <c r="NB7" s="5"/>
      <c r="NC7" s="37" cm="1">
        <f t="array" aca="1" ref="NC7" ca="1">nbColor(B7:NB7)</f>
        <v>0</v>
      </c>
    </row>
    <row r="8" spans="1:386" x14ac:dyDescent="0.25">
      <c r="A8" s="24" t="s">
        <v>8</v>
      </c>
      <c r="B8" s="42"/>
      <c r="C8" s="2"/>
      <c r="D8" s="2"/>
      <c r="E8" s="2"/>
      <c r="F8" s="2"/>
      <c r="G8" s="103"/>
      <c r="H8" s="103"/>
      <c r="I8" s="103"/>
      <c r="J8" s="126"/>
      <c r="K8" s="103"/>
      <c r="L8" s="103"/>
      <c r="M8" s="103"/>
      <c r="N8" s="103"/>
      <c r="O8" s="103"/>
      <c r="P8" s="103"/>
      <c r="Q8" s="2"/>
      <c r="R8" s="2"/>
      <c r="S8" s="2"/>
      <c r="T8" s="2"/>
      <c r="U8" s="2"/>
      <c r="V8" s="2"/>
      <c r="W8" s="2"/>
      <c r="X8" s="2"/>
      <c r="Y8" s="2"/>
      <c r="Z8" s="2"/>
      <c r="AA8" s="2"/>
      <c r="AB8" s="2"/>
      <c r="AC8" s="2"/>
      <c r="AD8" s="2"/>
      <c r="AE8" s="2"/>
      <c r="AF8" s="5"/>
      <c r="AG8" s="3"/>
      <c r="AH8" s="2"/>
      <c r="AI8" s="2"/>
      <c r="AJ8" s="2"/>
      <c r="AK8" s="2"/>
      <c r="AL8" s="2"/>
      <c r="AM8" s="2"/>
      <c r="AN8" s="2"/>
      <c r="AO8" s="2"/>
      <c r="AP8" s="2"/>
      <c r="AQ8" s="2"/>
      <c r="AR8" s="2"/>
      <c r="AS8" s="2"/>
      <c r="AT8" s="2"/>
      <c r="AU8" s="2"/>
      <c r="AV8" s="2"/>
      <c r="AW8" s="2"/>
      <c r="AX8" s="2"/>
      <c r="AY8" s="2"/>
      <c r="AZ8" s="2"/>
      <c r="BA8" s="2"/>
      <c r="BB8" s="2"/>
      <c r="BC8" s="2"/>
      <c r="BD8" s="2"/>
      <c r="BE8" s="2"/>
      <c r="BF8" s="2"/>
      <c r="BG8" s="2"/>
      <c r="BH8" s="2"/>
      <c r="BI8" s="3"/>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5"/>
      <c r="CN8" s="3"/>
      <c r="CO8" s="2"/>
      <c r="CP8" s="110" t="s">
        <v>97</v>
      </c>
      <c r="CQ8" s="110" t="s">
        <v>97</v>
      </c>
      <c r="CR8" s="110" t="s">
        <v>97</v>
      </c>
      <c r="CS8" s="110" t="s">
        <v>97</v>
      </c>
      <c r="CT8" s="110" t="s">
        <v>97</v>
      </c>
      <c r="CU8" s="110" t="s">
        <v>97</v>
      </c>
      <c r="CV8" s="110" t="s">
        <v>97</v>
      </c>
      <c r="CW8" s="110" t="s">
        <v>97</v>
      </c>
      <c r="CX8" s="110" t="s">
        <v>97</v>
      </c>
      <c r="CY8" s="110" t="s">
        <v>97</v>
      </c>
      <c r="CZ8" s="110" t="s">
        <v>97</v>
      </c>
      <c r="DA8" s="110" t="s">
        <v>97</v>
      </c>
      <c r="DB8" s="110" t="s">
        <v>97</v>
      </c>
      <c r="DC8" s="110" t="s">
        <v>97</v>
      </c>
      <c r="DD8" s="110" t="s">
        <v>97</v>
      </c>
      <c r="DE8" s="110" t="s">
        <v>97</v>
      </c>
      <c r="DF8" s="110" t="s">
        <v>97</v>
      </c>
      <c r="DG8" s="110" t="s">
        <v>97</v>
      </c>
      <c r="DH8" s="110" t="s">
        <v>97</v>
      </c>
      <c r="DI8" s="110" t="s">
        <v>97</v>
      </c>
      <c r="DJ8" s="110" t="s">
        <v>97</v>
      </c>
      <c r="DK8" s="110" t="s">
        <v>97</v>
      </c>
      <c r="DL8" s="110" t="s">
        <v>97</v>
      </c>
      <c r="DM8" s="110" t="s">
        <v>97</v>
      </c>
      <c r="DN8" s="110" t="s">
        <v>97</v>
      </c>
      <c r="DO8" s="110" t="s">
        <v>97</v>
      </c>
      <c r="DP8" s="110" t="s">
        <v>97</v>
      </c>
      <c r="DQ8" s="110" t="s">
        <v>97</v>
      </c>
      <c r="DR8" s="109" t="s">
        <v>97</v>
      </c>
      <c r="DS8" s="110" t="s">
        <v>97</v>
      </c>
      <c r="DT8" s="110" t="s">
        <v>97</v>
      </c>
      <c r="DU8" s="110" t="s">
        <v>97</v>
      </c>
      <c r="DV8" s="110" t="s">
        <v>97</v>
      </c>
      <c r="DW8" s="110" t="s">
        <v>97</v>
      </c>
      <c r="DX8" s="110" t="s">
        <v>97</v>
      </c>
      <c r="DY8" s="110" t="s">
        <v>97</v>
      </c>
      <c r="DZ8" s="110" t="s">
        <v>97</v>
      </c>
      <c r="EA8" s="110" t="s">
        <v>97</v>
      </c>
      <c r="EB8" s="110" t="s">
        <v>97</v>
      </c>
      <c r="EC8" s="110" t="s">
        <v>97</v>
      </c>
      <c r="ED8" s="110" t="s">
        <v>97</v>
      </c>
      <c r="EE8" s="2"/>
      <c r="EF8" s="2"/>
      <c r="EG8" s="2"/>
      <c r="EH8" s="2"/>
      <c r="EI8" s="2"/>
      <c r="EJ8" s="2"/>
      <c r="EK8" s="2"/>
      <c r="EL8" s="2"/>
      <c r="EM8" s="2"/>
      <c r="EN8" s="2"/>
      <c r="EO8" s="2"/>
      <c r="EP8" s="2"/>
      <c r="EQ8" s="2"/>
      <c r="ER8" s="2"/>
      <c r="ES8" s="2"/>
      <c r="ET8" s="2"/>
      <c r="EU8" s="2"/>
      <c r="EV8" s="5"/>
      <c r="EW8" s="3"/>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3"/>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5"/>
      <c r="HF8" s="3"/>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5"/>
      <c r="IK8" s="3"/>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3"/>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5"/>
      <c r="KT8" s="3"/>
      <c r="KU8" s="2"/>
      <c r="KV8" s="2"/>
      <c r="KW8" s="2"/>
      <c r="KX8" s="2"/>
      <c r="KY8" s="2"/>
      <c r="KZ8" s="2"/>
      <c r="LA8" s="2"/>
      <c r="LB8" s="2"/>
      <c r="LC8" s="2"/>
      <c r="LD8" s="2"/>
      <c r="LE8" s="2"/>
      <c r="LF8" s="2"/>
      <c r="LG8" s="2"/>
      <c r="LH8" s="2"/>
      <c r="LI8" s="2"/>
      <c r="LJ8" s="2"/>
      <c r="LK8" s="2"/>
      <c r="LL8" s="2"/>
      <c r="LM8" s="2"/>
      <c r="LN8" s="2"/>
      <c r="LO8" s="2"/>
      <c r="LP8" s="2"/>
      <c r="LQ8" s="2"/>
      <c r="LR8" s="2"/>
      <c r="LS8" s="2"/>
      <c r="LT8" s="2"/>
      <c r="LU8" s="2"/>
      <c r="LV8" s="103"/>
      <c r="LW8" s="103"/>
      <c r="LX8" s="106"/>
      <c r="LY8" s="103"/>
      <c r="LZ8" s="103"/>
      <c r="MA8" s="103"/>
      <c r="MB8" s="103"/>
      <c r="MC8" s="103"/>
      <c r="MD8" s="103"/>
      <c r="ME8" s="103"/>
      <c r="MF8" s="103"/>
      <c r="MG8" s="103"/>
      <c r="MH8" s="103"/>
      <c r="MI8" s="103"/>
      <c r="MJ8" s="103"/>
      <c r="MK8" s="103"/>
      <c r="ML8" s="103"/>
      <c r="MM8" s="103"/>
      <c r="MN8" s="103"/>
      <c r="MO8" s="103"/>
      <c r="MP8" s="103"/>
      <c r="MQ8" s="2"/>
      <c r="MR8" s="2"/>
      <c r="MS8" s="2"/>
      <c r="MT8" s="2"/>
      <c r="MU8" s="2"/>
      <c r="MV8" s="2"/>
      <c r="MW8" s="2"/>
      <c r="MX8" s="2"/>
      <c r="MY8" s="2"/>
      <c r="MZ8" s="2"/>
      <c r="NA8" s="2"/>
      <c r="NB8" s="5"/>
      <c r="NC8" s="37" cm="1">
        <f t="array" aca="1" ref="NC8" ca="1">nbColor(B8:NB8)</f>
        <v>0</v>
      </c>
    </row>
    <row r="9" spans="1:386" x14ac:dyDescent="0.25">
      <c r="A9" s="24" t="s">
        <v>7</v>
      </c>
      <c r="B9" s="42"/>
      <c r="C9" s="2"/>
      <c r="D9" s="2"/>
      <c r="E9" s="2"/>
      <c r="F9" s="2"/>
      <c r="G9" s="103"/>
      <c r="H9" s="103"/>
      <c r="I9" s="103"/>
      <c r="J9" s="126"/>
      <c r="K9" s="103"/>
      <c r="L9" s="103"/>
      <c r="M9" s="103"/>
      <c r="N9" s="103"/>
      <c r="O9" s="103"/>
      <c r="P9" s="103"/>
      <c r="Q9" s="2"/>
      <c r="R9" s="2"/>
      <c r="S9" s="2"/>
      <c r="T9" s="2"/>
      <c r="U9" s="2"/>
      <c r="V9" s="2"/>
      <c r="W9" s="2"/>
      <c r="X9" s="2"/>
      <c r="Y9" s="2"/>
      <c r="Z9" s="2"/>
      <c r="AA9" s="2"/>
      <c r="AB9" s="2"/>
      <c r="AC9" s="2"/>
      <c r="AD9" s="2"/>
      <c r="AE9" s="2"/>
      <c r="AF9" s="5"/>
      <c r="AG9" s="3"/>
      <c r="AH9" s="2"/>
      <c r="AI9" s="2"/>
      <c r="AJ9" s="2"/>
      <c r="AK9" s="2"/>
      <c r="AL9" s="2"/>
      <c r="AM9" s="2"/>
      <c r="AN9" s="2"/>
      <c r="AO9" s="2"/>
      <c r="AP9" s="2"/>
      <c r="AQ9" s="2"/>
      <c r="AR9" s="2"/>
      <c r="AS9" s="2"/>
      <c r="AT9" s="2"/>
      <c r="AU9" s="2"/>
      <c r="AV9" s="2"/>
      <c r="AW9" s="2"/>
      <c r="AX9" s="2"/>
      <c r="AY9" s="2"/>
      <c r="AZ9" s="2"/>
      <c r="BA9" s="2"/>
      <c r="BB9" s="2"/>
      <c r="BC9" s="2"/>
      <c r="BD9" s="2"/>
      <c r="BE9" s="2"/>
      <c r="BF9" s="2"/>
      <c r="BG9" s="2"/>
      <c r="BH9" s="2"/>
      <c r="BI9" s="3"/>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5"/>
      <c r="CN9" s="3"/>
      <c r="CO9" s="2"/>
      <c r="CP9" s="110" t="s">
        <v>78</v>
      </c>
      <c r="CQ9" s="110" t="s">
        <v>78</v>
      </c>
      <c r="CR9" s="110" t="s">
        <v>78</v>
      </c>
      <c r="CS9" s="110" t="s">
        <v>78</v>
      </c>
      <c r="CT9" s="110" t="s">
        <v>78</v>
      </c>
      <c r="CU9" s="110" t="s">
        <v>78</v>
      </c>
      <c r="CV9" s="2"/>
      <c r="CW9" s="2"/>
      <c r="CX9" s="2"/>
      <c r="CY9" s="2"/>
      <c r="CZ9" s="2"/>
      <c r="DA9" s="2"/>
      <c r="DB9" s="2"/>
      <c r="DC9" s="2"/>
      <c r="DD9" s="2"/>
      <c r="DE9" s="2"/>
      <c r="DF9" s="2"/>
      <c r="DG9" s="2"/>
      <c r="DH9" s="2"/>
      <c r="DI9" s="2"/>
      <c r="DJ9" s="2"/>
      <c r="DK9" s="2"/>
      <c r="DL9" s="2"/>
      <c r="DM9" s="2"/>
      <c r="DN9" s="2"/>
      <c r="DO9" s="2"/>
      <c r="DP9" s="2"/>
      <c r="DQ9" s="2"/>
      <c r="DR9" s="3"/>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5"/>
      <c r="EW9" s="3"/>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3"/>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5"/>
      <c r="HF9" s="3"/>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5"/>
      <c r="IK9" s="3"/>
      <c r="IL9" s="2"/>
      <c r="IM9" s="2"/>
      <c r="IN9" s="2"/>
      <c r="IO9" s="2"/>
      <c r="IP9" s="2"/>
      <c r="IQ9" s="2"/>
      <c r="IR9" s="2"/>
      <c r="IS9" s="2"/>
      <c r="IT9" s="2"/>
      <c r="IU9" s="2"/>
      <c r="IV9" s="2"/>
      <c r="IW9" s="2"/>
      <c r="IX9" s="2"/>
      <c r="IY9" s="2"/>
      <c r="IZ9" s="2"/>
      <c r="JA9" s="2"/>
      <c r="JB9" s="2"/>
      <c r="JC9" s="2"/>
      <c r="JD9" s="2"/>
      <c r="JE9" s="2"/>
      <c r="JF9" s="2"/>
      <c r="JG9" s="2"/>
      <c r="JH9" s="2"/>
      <c r="JI9" s="2"/>
      <c r="JJ9" s="2"/>
      <c r="JK9" s="2"/>
      <c r="JL9" s="2"/>
      <c r="JM9" s="2"/>
      <c r="JN9" s="2"/>
      <c r="JO9" s="3"/>
      <c r="JP9" s="2"/>
      <c r="JQ9" s="2"/>
      <c r="JR9" s="2"/>
      <c r="JS9" s="2"/>
      <c r="JT9" s="2"/>
      <c r="JU9" s="2"/>
      <c r="JV9" s="2"/>
      <c r="JW9" s="2"/>
      <c r="JX9" s="2"/>
      <c r="JY9" s="2"/>
      <c r="JZ9" s="2"/>
      <c r="KA9" s="2"/>
      <c r="KB9" s="2"/>
      <c r="KC9" s="2"/>
      <c r="KD9" s="2"/>
      <c r="KE9" s="2"/>
      <c r="KF9" s="2"/>
      <c r="KG9" s="2"/>
      <c r="KH9" s="2"/>
      <c r="KI9" s="2"/>
      <c r="KJ9" s="2"/>
      <c r="KK9" s="2"/>
      <c r="KL9" s="2"/>
      <c r="KM9" s="2"/>
      <c r="KN9" s="2"/>
      <c r="KO9" s="2"/>
      <c r="KP9" s="2"/>
      <c r="KQ9" s="2"/>
      <c r="KR9" s="2"/>
      <c r="KS9" s="5"/>
      <c r="KT9" s="3"/>
      <c r="KU9" s="2"/>
      <c r="KV9" s="2"/>
      <c r="KW9" s="2"/>
      <c r="KX9" s="2"/>
      <c r="KY9" s="2"/>
      <c r="KZ9" s="2"/>
      <c r="LA9" s="2"/>
      <c r="LB9" s="2"/>
      <c r="LC9" s="2"/>
      <c r="LD9" s="2"/>
      <c r="LE9" s="2"/>
      <c r="LF9" s="2"/>
      <c r="LG9" s="2"/>
      <c r="LH9" s="2"/>
      <c r="LI9" s="2"/>
      <c r="LJ9" s="2"/>
      <c r="LK9" s="2"/>
      <c r="LL9" s="2"/>
      <c r="LM9" s="2"/>
      <c r="LN9" s="2"/>
      <c r="LO9" s="2"/>
      <c r="LP9" s="2"/>
      <c r="LQ9" s="2"/>
      <c r="LR9" s="2"/>
      <c r="LS9" s="2"/>
      <c r="LT9" s="2"/>
      <c r="LU9" s="2"/>
      <c r="LV9" s="103"/>
      <c r="LW9" s="103"/>
      <c r="LX9" s="106"/>
      <c r="LY9" s="103"/>
      <c r="LZ9" s="103"/>
      <c r="MA9" s="103"/>
      <c r="MB9" s="103"/>
      <c r="MC9" s="103"/>
      <c r="MD9" s="103"/>
      <c r="ME9" s="103"/>
      <c r="MF9" s="103"/>
      <c r="MG9" s="103"/>
      <c r="MH9" s="103"/>
      <c r="MI9" s="103"/>
      <c r="MJ9" s="103"/>
      <c r="MK9" s="103"/>
      <c r="ML9" s="103"/>
      <c r="MM9" s="103"/>
      <c r="MN9" s="103"/>
      <c r="MO9" s="103"/>
      <c r="MP9" s="103"/>
      <c r="MQ9" s="2"/>
      <c r="MR9" s="2"/>
      <c r="MS9" s="2"/>
      <c r="MT9" s="2"/>
      <c r="MU9" s="2"/>
      <c r="MV9" s="2"/>
      <c r="MW9" s="2"/>
      <c r="MX9" s="2"/>
      <c r="MY9" s="2"/>
      <c r="MZ9" s="2"/>
      <c r="NA9" s="2"/>
      <c r="NB9" s="5"/>
      <c r="NC9" s="37" cm="1">
        <f t="array" aca="1" ref="NC9" ca="1">nbColor(B9:NB9)</f>
        <v>0</v>
      </c>
    </row>
    <row r="10" spans="1:386" x14ac:dyDescent="0.25">
      <c r="A10" s="25" t="s">
        <v>16</v>
      </c>
      <c r="B10" s="42"/>
      <c r="C10" s="2"/>
      <c r="D10" s="2"/>
      <c r="E10" s="2"/>
      <c r="F10" s="2"/>
      <c r="G10" s="110" t="s">
        <v>99</v>
      </c>
      <c r="H10" s="110" t="s">
        <v>99</v>
      </c>
      <c r="I10" s="110" t="s">
        <v>99</v>
      </c>
      <c r="J10" s="108" t="s">
        <v>99</v>
      </c>
      <c r="K10" s="110" t="s">
        <v>99</v>
      </c>
      <c r="L10" s="110" t="s">
        <v>99</v>
      </c>
      <c r="M10" s="110" t="s">
        <v>99</v>
      </c>
      <c r="N10" s="110" t="s">
        <v>99</v>
      </c>
      <c r="O10" s="110" t="s">
        <v>99</v>
      </c>
      <c r="P10" s="110" t="s">
        <v>99</v>
      </c>
      <c r="Q10" s="2"/>
      <c r="R10" s="2"/>
      <c r="S10" s="2"/>
      <c r="T10" s="2"/>
      <c r="U10" s="2"/>
      <c r="V10" s="2"/>
      <c r="W10" s="2"/>
      <c r="X10" s="2"/>
      <c r="Y10" s="2"/>
      <c r="Z10" s="2"/>
      <c r="AA10" s="2"/>
      <c r="AB10" s="2"/>
      <c r="AC10" s="2"/>
      <c r="AD10" s="2"/>
      <c r="AE10" s="2"/>
      <c r="AF10" s="5"/>
      <c r="AG10" s="3"/>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3"/>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5"/>
      <c r="CN10" s="3"/>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3"/>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5"/>
      <c r="EW10" s="3"/>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3"/>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5"/>
      <c r="HF10" s="3"/>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5"/>
      <c r="IK10" s="3"/>
      <c r="IL10" s="2"/>
      <c r="IM10" s="2"/>
      <c r="IN10" s="2"/>
      <c r="IO10" s="2"/>
      <c r="IP10" s="2"/>
      <c r="IQ10" s="2"/>
      <c r="IR10" s="2"/>
      <c r="IS10" s="2"/>
      <c r="IT10" s="2"/>
      <c r="IU10" s="2"/>
      <c r="IV10" s="2"/>
      <c r="IW10" s="2"/>
      <c r="IX10" s="2"/>
      <c r="IY10" s="2"/>
      <c r="IZ10" s="2"/>
      <c r="JA10" s="2"/>
      <c r="JB10" s="2"/>
      <c r="JC10" s="2"/>
      <c r="JD10" s="2"/>
      <c r="JE10" s="2"/>
      <c r="JF10" s="2"/>
      <c r="JG10" s="2"/>
      <c r="JH10" s="2"/>
      <c r="JI10" s="2"/>
      <c r="JJ10" s="2"/>
      <c r="JK10" s="2"/>
      <c r="JL10" s="2"/>
      <c r="JM10" s="2"/>
      <c r="JN10" s="2"/>
      <c r="JO10" s="3"/>
      <c r="JP10" s="2"/>
      <c r="JQ10" s="2"/>
      <c r="JR10" s="2"/>
      <c r="JS10" s="2"/>
      <c r="JT10" s="2"/>
      <c r="JU10" s="2"/>
      <c r="JV10" s="2"/>
      <c r="JW10" s="2"/>
      <c r="JX10" s="2"/>
      <c r="JY10" s="2"/>
      <c r="JZ10" s="2"/>
      <c r="KA10" s="2"/>
      <c r="KB10" s="2"/>
      <c r="KC10" s="2"/>
      <c r="KD10" s="2"/>
      <c r="KE10" s="2"/>
      <c r="KF10" s="2"/>
      <c r="KG10" s="2"/>
      <c r="KH10" s="2"/>
      <c r="KI10" s="2"/>
      <c r="KJ10" s="2"/>
      <c r="KK10" s="2"/>
      <c r="KL10" s="2"/>
      <c r="KM10" s="2"/>
      <c r="KN10" s="2"/>
      <c r="KO10" s="2"/>
      <c r="KP10" s="2"/>
      <c r="KQ10" s="2"/>
      <c r="KR10" s="2"/>
      <c r="KS10" s="5"/>
      <c r="KT10" s="3"/>
      <c r="KU10" s="2"/>
      <c r="KV10" s="2"/>
      <c r="KW10" s="2"/>
      <c r="KX10" s="2"/>
      <c r="KY10" s="2"/>
      <c r="KZ10" s="2"/>
      <c r="LA10" s="2"/>
      <c r="LB10" s="2"/>
      <c r="LC10" s="2"/>
      <c r="LD10" s="2"/>
      <c r="LE10" s="2"/>
      <c r="LF10" s="2"/>
      <c r="LG10" s="2"/>
      <c r="LH10" s="2"/>
      <c r="LI10" s="2"/>
      <c r="LJ10" s="2"/>
      <c r="LK10" s="2"/>
      <c r="LL10" s="2"/>
      <c r="LM10" s="2"/>
      <c r="LN10" s="2"/>
      <c r="LO10" s="2"/>
      <c r="LP10" s="2"/>
      <c r="LQ10" s="2"/>
      <c r="LR10" s="2"/>
      <c r="LS10" s="2"/>
      <c r="LT10" s="2"/>
      <c r="LU10" s="2"/>
      <c r="LV10" s="103"/>
      <c r="LW10" s="103"/>
      <c r="LX10" s="106"/>
      <c r="LY10" s="103"/>
      <c r="LZ10" s="103"/>
      <c r="MA10" s="103"/>
      <c r="MB10" s="103"/>
      <c r="MC10" s="103"/>
      <c r="MD10" s="103"/>
      <c r="ME10" s="103"/>
      <c r="MF10" s="103"/>
      <c r="MG10" s="103"/>
      <c r="MH10" s="103"/>
      <c r="MI10" s="103"/>
      <c r="MJ10" s="103"/>
      <c r="MK10" s="103"/>
      <c r="ML10" s="103"/>
      <c r="MM10" s="103"/>
      <c r="MN10" s="103"/>
      <c r="MO10" s="103"/>
      <c r="MP10" s="103"/>
      <c r="MQ10" s="2"/>
      <c r="MR10" s="2"/>
      <c r="MS10" s="2"/>
      <c r="MT10" s="2"/>
      <c r="MU10" s="2"/>
      <c r="MV10" s="2"/>
      <c r="MW10" s="2"/>
      <c r="MX10" s="2"/>
      <c r="MY10" s="2"/>
      <c r="MZ10" s="2"/>
      <c r="NA10" s="2"/>
      <c r="NB10" s="5"/>
      <c r="NC10" s="37" cm="1">
        <f t="array" aca="1" ref="NC10" ca="1">nbColor(B10:NB10)</f>
        <v>0</v>
      </c>
    </row>
    <row r="11" spans="1:386" x14ac:dyDescent="0.25">
      <c r="A11" s="25" t="s">
        <v>0</v>
      </c>
      <c r="B11" s="42"/>
      <c r="C11" s="2"/>
      <c r="D11" s="2"/>
      <c r="E11" s="2"/>
      <c r="F11" s="2"/>
      <c r="G11" s="2"/>
      <c r="H11" s="2"/>
      <c r="I11" s="2"/>
      <c r="J11" s="29"/>
      <c r="K11" s="2"/>
      <c r="L11" s="2"/>
      <c r="M11" s="2"/>
      <c r="N11" s="2"/>
      <c r="O11" s="2"/>
      <c r="P11" s="2"/>
      <c r="Q11" s="2"/>
      <c r="R11" s="2"/>
      <c r="S11" s="2"/>
      <c r="T11" s="2"/>
      <c r="U11" s="2"/>
      <c r="V11" s="2"/>
      <c r="W11" s="2"/>
      <c r="X11" s="2"/>
      <c r="Y11" s="2"/>
      <c r="Z11" s="2"/>
      <c r="AA11" s="2"/>
      <c r="AB11" s="2"/>
      <c r="AC11" s="2"/>
      <c r="AD11" s="2"/>
      <c r="AE11" s="2"/>
      <c r="AF11" s="5"/>
      <c r="AG11" s="3"/>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3"/>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5"/>
      <c r="CN11" s="3"/>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3"/>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5"/>
      <c r="EW11" s="3"/>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3"/>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5"/>
      <c r="HF11" s="3"/>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5"/>
      <c r="IK11" s="3"/>
      <c r="IL11" s="2"/>
      <c r="IM11" s="2"/>
      <c r="IN11" s="2"/>
      <c r="IO11" s="2"/>
      <c r="IP11" s="2"/>
      <c r="IQ11" s="2"/>
      <c r="IR11" s="2"/>
      <c r="IS11" s="2"/>
      <c r="IT11" s="2"/>
      <c r="IU11" s="2"/>
      <c r="IV11" s="2"/>
      <c r="IW11" s="2"/>
      <c r="IX11" s="2"/>
      <c r="IY11" s="2"/>
      <c r="IZ11" s="2"/>
      <c r="JA11" s="2"/>
      <c r="JB11" s="2"/>
      <c r="JC11" s="2"/>
      <c r="JD11" s="2"/>
      <c r="JE11" s="2"/>
      <c r="JF11" s="2"/>
      <c r="JG11" s="2"/>
      <c r="JH11" s="2"/>
      <c r="JI11" s="2"/>
      <c r="JJ11" s="2"/>
      <c r="JK11" s="2"/>
      <c r="JL11" s="2"/>
      <c r="JM11" s="2"/>
      <c r="JN11" s="2"/>
      <c r="JO11" s="3"/>
      <c r="JP11" s="2"/>
      <c r="JQ11" s="2"/>
      <c r="JR11" s="2"/>
      <c r="JS11" s="2"/>
      <c r="JT11" s="2"/>
      <c r="JU11" s="2"/>
      <c r="JV11" s="2"/>
      <c r="JW11" s="2"/>
      <c r="JX11" s="2"/>
      <c r="JY11" s="2"/>
      <c r="JZ11" s="2"/>
      <c r="KA11" s="2"/>
      <c r="KB11" s="2"/>
      <c r="KC11" s="2"/>
      <c r="KD11" s="2"/>
      <c r="KE11" s="2"/>
      <c r="KF11" s="2"/>
      <c r="KG11" s="2"/>
      <c r="KH11" s="2"/>
      <c r="KI11" s="2"/>
      <c r="KJ11" s="2"/>
      <c r="KK11" s="2"/>
      <c r="KL11" s="2"/>
      <c r="KM11" s="2"/>
      <c r="KN11" s="2"/>
      <c r="KO11" s="2"/>
      <c r="KP11" s="2"/>
      <c r="KQ11" s="2"/>
      <c r="KR11" s="2"/>
      <c r="KS11" s="5"/>
      <c r="KT11" s="3"/>
      <c r="KU11" s="2"/>
      <c r="KV11" s="2"/>
      <c r="KW11" s="2"/>
      <c r="KX11" s="2"/>
      <c r="KY11" s="2"/>
      <c r="KZ11" s="2"/>
      <c r="LA11" s="2"/>
      <c r="LB11" s="2"/>
      <c r="LC11" s="2"/>
      <c r="LD11" s="2"/>
      <c r="LE11" s="2"/>
      <c r="LF11" s="2"/>
      <c r="LG11" s="2"/>
      <c r="LH11" s="2"/>
      <c r="LI11" s="2"/>
      <c r="LJ11" s="2"/>
      <c r="LK11" s="2"/>
      <c r="LL11" s="2"/>
      <c r="LM11" s="2"/>
      <c r="LN11" s="2"/>
      <c r="LO11" s="2"/>
      <c r="LP11" s="2"/>
      <c r="LQ11" s="2"/>
      <c r="LR11" s="2"/>
      <c r="LS11" s="2"/>
      <c r="LT11" s="2"/>
      <c r="LU11" s="2"/>
      <c r="LV11" s="103"/>
      <c r="LW11" s="103"/>
      <c r="LX11" s="106"/>
      <c r="LY11" s="103"/>
      <c r="LZ11" s="103"/>
      <c r="MA11" s="103"/>
      <c r="MB11" s="103"/>
      <c r="MC11" s="103"/>
      <c r="MD11" s="103"/>
      <c r="ME11" s="103"/>
      <c r="MF11" s="103"/>
      <c r="MG11" s="103"/>
      <c r="MH11" s="103"/>
      <c r="MI11" s="103"/>
      <c r="MJ11" s="103"/>
      <c r="MK11" s="103"/>
      <c r="ML11" s="103"/>
      <c r="MM11" s="103"/>
      <c r="MN11" s="103"/>
      <c r="MO11" s="103"/>
      <c r="MP11" s="103"/>
      <c r="MQ11" s="2"/>
      <c r="MR11" s="2"/>
      <c r="MS11" s="2"/>
      <c r="MT11" s="2"/>
      <c r="MU11" s="2"/>
      <c r="MV11" s="2"/>
      <c r="MW11" s="2"/>
      <c r="MX11" s="2"/>
      <c r="MY11" s="2"/>
      <c r="MZ11" s="2"/>
      <c r="NA11" s="2"/>
      <c r="NB11" s="5"/>
      <c r="NC11" s="37" cm="1">
        <f t="array" aca="1" ref="NC11" ca="1">nbColor(B11:NB11)</f>
        <v>0</v>
      </c>
    </row>
    <row r="12" spans="1:386" x14ac:dyDescent="0.25">
      <c r="A12" s="26" t="s">
        <v>18</v>
      </c>
      <c r="B12" s="42"/>
      <c r="C12" s="2"/>
      <c r="D12" s="2"/>
      <c r="E12" s="2"/>
      <c r="F12" s="2"/>
      <c r="G12" s="2"/>
      <c r="H12" s="2"/>
      <c r="I12" s="2"/>
      <c r="J12" s="29"/>
      <c r="K12" s="2"/>
      <c r="L12" s="2"/>
      <c r="M12" s="2"/>
      <c r="N12" s="2"/>
      <c r="O12" s="2"/>
      <c r="P12" s="2"/>
      <c r="Q12" s="2"/>
      <c r="R12" s="2"/>
      <c r="S12" s="2"/>
      <c r="T12" s="2"/>
      <c r="U12" s="2"/>
      <c r="V12" s="2"/>
      <c r="W12" s="2"/>
      <c r="X12" s="2"/>
      <c r="Y12" s="2"/>
      <c r="Z12" s="2"/>
      <c r="AA12" s="2"/>
      <c r="AB12" s="2"/>
      <c r="AC12" s="2"/>
      <c r="AD12" s="2"/>
      <c r="AE12" s="2"/>
      <c r="AF12" s="5"/>
      <c r="AG12" s="3"/>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3"/>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5"/>
      <c r="CN12" s="3"/>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3"/>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5"/>
      <c r="EW12" s="3"/>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3"/>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5"/>
      <c r="HF12" s="3"/>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5"/>
      <c r="IK12" s="3"/>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3"/>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5"/>
      <c r="KT12" s="3"/>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103"/>
      <c r="LW12" s="103"/>
      <c r="LX12" s="106"/>
      <c r="LY12" s="103"/>
      <c r="LZ12" s="103"/>
      <c r="MA12" s="103"/>
      <c r="MB12" s="103"/>
      <c r="MC12" s="103"/>
      <c r="MD12" s="103"/>
      <c r="ME12" s="103"/>
      <c r="MF12" s="103"/>
      <c r="MG12" s="103"/>
      <c r="MH12" s="103"/>
      <c r="MI12" s="103"/>
      <c r="MJ12" s="103"/>
      <c r="MK12" s="103"/>
      <c r="ML12" s="103"/>
      <c r="MM12" s="103"/>
      <c r="MN12" s="103"/>
      <c r="MO12" s="103"/>
      <c r="MP12" s="103"/>
      <c r="MQ12" s="2"/>
      <c r="MR12" s="2"/>
      <c r="MS12" s="2"/>
      <c r="MT12" s="2"/>
      <c r="MU12" s="2"/>
      <c r="MV12" s="2"/>
      <c r="MW12" s="2"/>
      <c r="MX12" s="2"/>
      <c r="MY12" s="2"/>
      <c r="MZ12" s="2"/>
      <c r="NA12" s="2"/>
      <c r="NB12" s="5"/>
      <c r="NC12" s="37" cm="1">
        <f t="array" aca="1" ref="NC12" ca="1">nbColor(B12:NB12)</f>
        <v>0</v>
      </c>
    </row>
    <row r="13" spans="1:386" x14ac:dyDescent="0.25">
      <c r="A13" s="26" t="s">
        <v>2</v>
      </c>
      <c r="B13" s="42"/>
      <c r="C13" s="2"/>
      <c r="D13" s="2"/>
      <c r="E13" s="2"/>
      <c r="F13" s="2"/>
      <c r="G13" s="2"/>
      <c r="H13" s="2"/>
      <c r="I13" s="2"/>
      <c r="J13" s="29"/>
      <c r="K13" s="2"/>
      <c r="L13" s="2"/>
      <c r="M13" s="2"/>
      <c r="N13" s="2"/>
      <c r="O13" s="2"/>
      <c r="P13" s="2"/>
      <c r="Q13" s="2"/>
      <c r="R13" s="2"/>
      <c r="S13" s="2"/>
      <c r="T13" s="2"/>
      <c r="U13" s="2"/>
      <c r="V13" s="2"/>
      <c r="W13" s="2"/>
      <c r="X13" s="2"/>
      <c r="Y13" s="2"/>
      <c r="Z13" s="2"/>
      <c r="AA13" s="2"/>
      <c r="AB13" s="2"/>
      <c r="AC13" s="2"/>
      <c r="AD13" s="2"/>
      <c r="AE13" s="2"/>
      <c r="AF13" s="5"/>
      <c r="AG13" s="3"/>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3"/>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5"/>
      <c r="CN13" s="3"/>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3"/>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5"/>
      <c r="EW13" s="3"/>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3"/>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5"/>
      <c r="HF13" s="3"/>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5"/>
      <c r="IK13" s="3"/>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3"/>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5"/>
      <c r="KT13" s="3"/>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103"/>
      <c r="LW13" s="103"/>
      <c r="LX13" s="106"/>
      <c r="LY13" s="103"/>
      <c r="LZ13" s="103"/>
      <c r="MA13" s="103"/>
      <c r="MB13" s="103"/>
      <c r="MC13" s="103"/>
      <c r="MD13" s="103"/>
      <c r="ME13" s="103"/>
      <c r="MF13" s="103"/>
      <c r="MG13" s="103"/>
      <c r="MH13" s="103"/>
      <c r="MI13" s="103"/>
      <c r="MJ13" s="103"/>
      <c r="MK13" s="103"/>
      <c r="ML13" s="103"/>
      <c r="MM13" s="103"/>
      <c r="MN13" s="103"/>
      <c r="MO13" s="103"/>
      <c r="MP13" s="103"/>
      <c r="MQ13" s="2"/>
      <c r="MR13" s="2"/>
      <c r="MS13" s="2"/>
      <c r="MT13" s="2"/>
      <c r="MU13" s="2"/>
      <c r="MV13" s="2"/>
      <c r="MW13" s="2"/>
      <c r="MX13" s="2"/>
      <c r="MY13" s="2"/>
      <c r="MZ13" s="2"/>
      <c r="NA13" s="2"/>
      <c r="NB13" s="5"/>
      <c r="NC13" s="37" cm="1">
        <f t="array" aca="1" ref="NC13" ca="1">nbColor(B13:NB13)</f>
        <v>0</v>
      </c>
    </row>
    <row r="14" spans="1:386" x14ac:dyDescent="0.25">
      <c r="A14" s="27" t="s">
        <v>15</v>
      </c>
      <c r="B14" s="42"/>
      <c r="C14" s="2"/>
      <c r="D14" s="2"/>
      <c r="E14" s="2"/>
      <c r="F14" s="2"/>
      <c r="G14" s="2"/>
      <c r="H14" s="2"/>
      <c r="I14" s="2"/>
      <c r="J14" s="29"/>
      <c r="K14" s="2"/>
      <c r="L14" s="2"/>
      <c r="M14" s="2"/>
      <c r="N14" s="2"/>
      <c r="O14" s="2"/>
      <c r="P14" s="2"/>
      <c r="Q14" s="2"/>
      <c r="R14" s="2"/>
      <c r="S14" s="2"/>
      <c r="T14" s="2"/>
      <c r="U14" s="2"/>
      <c r="V14" s="2"/>
      <c r="W14" s="2"/>
      <c r="X14" s="2"/>
      <c r="Y14" s="2"/>
      <c r="Z14" s="2"/>
      <c r="AA14" s="2"/>
      <c r="AB14" s="2"/>
      <c r="AC14" s="2"/>
      <c r="AD14" s="2"/>
      <c r="AE14" s="2"/>
      <c r="AF14" s="5"/>
      <c r="AG14" s="3"/>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3"/>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5"/>
      <c r="CN14" s="3"/>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3"/>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5"/>
      <c r="EW14" s="3"/>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3"/>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5"/>
      <c r="HF14" s="3"/>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5"/>
      <c r="IK14" s="3"/>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3"/>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5"/>
      <c r="KT14" s="3"/>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103"/>
      <c r="LW14" s="103"/>
      <c r="LX14" s="106"/>
      <c r="LY14" s="103"/>
      <c r="LZ14" s="103"/>
      <c r="MA14" s="103"/>
      <c r="MB14" s="103"/>
      <c r="MC14" s="103"/>
      <c r="MD14" s="103"/>
      <c r="ME14" s="103"/>
      <c r="MF14" s="103"/>
      <c r="MG14" s="103"/>
      <c r="MH14" s="103"/>
      <c r="MI14" s="103"/>
      <c r="MJ14" s="103"/>
      <c r="MK14" s="103"/>
      <c r="ML14" s="103"/>
      <c r="MM14" s="103"/>
      <c r="MN14" s="103"/>
      <c r="MO14" s="103"/>
      <c r="MP14" s="103"/>
      <c r="MQ14" s="2"/>
      <c r="MR14" s="2"/>
      <c r="MS14" s="2"/>
      <c r="MT14" s="2"/>
      <c r="MU14" s="2"/>
      <c r="MV14" s="2"/>
      <c r="MW14" s="2"/>
      <c r="MX14" s="2"/>
      <c r="MY14" s="2"/>
      <c r="MZ14" s="2"/>
      <c r="NA14" s="2"/>
      <c r="NB14" s="5"/>
      <c r="NC14" s="37" cm="1">
        <f t="array" aca="1" ref="NC14" ca="1">nbColor(B14:NB14)</f>
        <v>0</v>
      </c>
    </row>
    <row r="15" spans="1:386" x14ac:dyDescent="0.25">
      <c r="A15" s="27" t="s">
        <v>38</v>
      </c>
      <c r="B15" s="42"/>
      <c r="C15" s="2"/>
      <c r="D15" s="2"/>
      <c r="E15" s="2"/>
      <c r="F15" s="2"/>
      <c r="G15" s="2"/>
      <c r="H15" s="2"/>
      <c r="I15" s="2"/>
      <c r="J15" s="29"/>
      <c r="K15" s="2"/>
      <c r="L15" s="2"/>
      <c r="M15" s="2"/>
      <c r="N15" s="2"/>
      <c r="O15" s="2"/>
      <c r="P15" s="2"/>
      <c r="Q15" s="2"/>
      <c r="R15" s="2"/>
      <c r="S15" s="2"/>
      <c r="T15" s="2"/>
      <c r="U15" s="2"/>
      <c r="V15" s="2"/>
      <c r="W15" s="2"/>
      <c r="X15" s="2"/>
      <c r="Y15" s="2"/>
      <c r="Z15" s="2"/>
      <c r="AA15" s="2"/>
      <c r="AB15" s="2"/>
      <c r="AC15" s="2"/>
      <c r="AD15" s="2"/>
      <c r="AE15" s="2"/>
      <c r="AF15" s="5"/>
      <c r="AG15" s="3"/>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3"/>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5"/>
      <c r="CN15" s="3"/>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3"/>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5"/>
      <c r="EW15" s="3"/>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3"/>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5"/>
      <c r="HF15" s="3"/>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5"/>
      <c r="IK15" s="3"/>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3"/>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5"/>
      <c r="KT15" s="3"/>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103"/>
      <c r="LW15" s="103"/>
      <c r="LX15" s="106"/>
      <c r="LY15" s="103"/>
      <c r="LZ15" s="103"/>
      <c r="MA15" s="103"/>
      <c r="MB15" s="103"/>
      <c r="MC15" s="103"/>
      <c r="MD15" s="103"/>
      <c r="ME15" s="103"/>
      <c r="MF15" s="103"/>
      <c r="MG15" s="103"/>
      <c r="MH15" s="103"/>
      <c r="MI15" s="103"/>
      <c r="MJ15" s="103"/>
      <c r="MK15" s="103"/>
      <c r="ML15" s="103"/>
      <c r="MM15" s="103"/>
      <c r="MN15" s="103"/>
      <c r="MO15" s="103"/>
      <c r="MP15" s="103"/>
      <c r="MQ15" s="2"/>
      <c r="MR15" s="2"/>
      <c r="MS15" s="2"/>
      <c r="MT15" s="2"/>
      <c r="MU15" s="2"/>
      <c r="MV15" s="2"/>
      <c r="MW15" s="2"/>
      <c r="MX15" s="2"/>
      <c r="MY15" s="2"/>
      <c r="MZ15" s="2"/>
      <c r="NA15" s="2"/>
      <c r="NB15" s="5"/>
      <c r="NC15" s="37" cm="1">
        <f t="array" aca="1" ref="NC15" ca="1">nbColor(B15:NB15)</f>
        <v>0</v>
      </c>
    </row>
    <row r="16" spans="1:386" x14ac:dyDescent="0.25">
      <c r="A16" s="27" t="s">
        <v>3</v>
      </c>
      <c r="B16" s="42"/>
      <c r="C16" s="2"/>
      <c r="D16" s="2"/>
      <c r="E16" s="2"/>
      <c r="F16" s="2"/>
      <c r="G16" s="2"/>
      <c r="H16" s="2"/>
      <c r="I16" s="2"/>
      <c r="J16" s="29"/>
      <c r="K16" s="2"/>
      <c r="L16" s="2"/>
      <c r="M16" s="2"/>
      <c r="N16" s="2"/>
      <c r="O16" s="2"/>
      <c r="P16" s="2"/>
      <c r="Q16" s="2"/>
      <c r="R16" s="2"/>
      <c r="S16" s="2"/>
      <c r="T16" s="2"/>
      <c r="U16" s="2"/>
      <c r="V16" s="2"/>
      <c r="W16" s="2"/>
      <c r="X16" s="2"/>
      <c r="Y16" s="2"/>
      <c r="Z16" s="2"/>
      <c r="AA16" s="2"/>
      <c r="AB16" s="2"/>
      <c r="AC16" s="2"/>
      <c r="AD16" s="2"/>
      <c r="AE16" s="2"/>
      <c r="AF16" s="5"/>
      <c r="AG16" s="3"/>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3"/>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5"/>
      <c r="CN16" s="3"/>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3"/>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5"/>
      <c r="EW16" s="3"/>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3"/>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5"/>
      <c r="HF16" s="3"/>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5"/>
      <c r="IK16" s="3"/>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3"/>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5"/>
      <c r="KT16" s="3"/>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103"/>
      <c r="LW16" s="103"/>
      <c r="LX16" s="106"/>
      <c r="LY16" s="103"/>
      <c r="LZ16" s="103"/>
      <c r="MA16" s="103"/>
      <c r="MB16" s="103"/>
      <c r="MC16" s="103"/>
      <c r="MD16" s="103"/>
      <c r="ME16" s="103"/>
      <c r="MF16" s="103"/>
      <c r="MG16" s="103"/>
      <c r="MH16" s="103"/>
      <c r="MI16" s="103"/>
      <c r="MJ16" s="103"/>
      <c r="MK16" s="103"/>
      <c r="ML16" s="103"/>
      <c r="MM16" s="103"/>
      <c r="MN16" s="103"/>
      <c r="MO16" s="103"/>
      <c r="MP16" s="103"/>
      <c r="MQ16" s="2"/>
      <c r="MR16" s="2"/>
      <c r="MS16" s="2"/>
      <c r="MT16" s="2"/>
      <c r="MU16" s="2"/>
      <c r="MV16" s="2"/>
      <c r="MW16" s="2"/>
      <c r="MX16" s="2"/>
      <c r="MY16" s="2"/>
      <c r="MZ16" s="2"/>
      <c r="NA16" s="2"/>
      <c r="NB16" s="5"/>
      <c r="NC16" s="37" cm="1">
        <f t="array" aca="1" ref="NC16" ca="1">nbColor(B16:NB16)</f>
        <v>0</v>
      </c>
    </row>
    <row r="17" spans="1:387" x14ac:dyDescent="0.25">
      <c r="A17" s="27" t="s">
        <v>6</v>
      </c>
      <c r="B17" s="42"/>
      <c r="C17" s="2"/>
      <c r="D17" s="2"/>
      <c r="E17" s="2"/>
      <c r="F17" s="2"/>
      <c r="G17" s="2"/>
      <c r="H17" s="2"/>
      <c r="I17" s="2"/>
      <c r="J17" s="29"/>
      <c r="K17" s="2"/>
      <c r="L17" s="2"/>
      <c r="M17" s="2"/>
      <c r="N17" s="2"/>
      <c r="O17" s="2"/>
      <c r="P17" s="2"/>
      <c r="Q17" s="2"/>
      <c r="R17" s="2"/>
      <c r="S17" s="2"/>
      <c r="T17" s="2"/>
      <c r="U17" s="2"/>
      <c r="V17" s="2"/>
      <c r="W17" s="2"/>
      <c r="X17" s="2"/>
      <c r="Y17" s="2"/>
      <c r="Z17" s="2"/>
      <c r="AA17" s="2"/>
      <c r="AB17" s="2"/>
      <c r="AC17" s="2"/>
      <c r="AD17" s="2"/>
      <c r="AE17" s="2"/>
      <c r="AF17" s="5"/>
      <c r="AG17" s="3"/>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3"/>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5"/>
      <c r="CN17" s="3"/>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3"/>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5"/>
      <c r="EW17" s="3"/>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3"/>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5"/>
      <c r="HF17" s="3"/>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5"/>
      <c r="IK17" s="3"/>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3"/>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5"/>
      <c r="KT17" s="3"/>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103"/>
      <c r="LW17" s="103"/>
      <c r="LX17" s="106"/>
      <c r="LY17" s="103"/>
      <c r="LZ17" s="103"/>
      <c r="MA17" s="103"/>
      <c r="MB17" s="103"/>
      <c r="MC17" s="103"/>
      <c r="MD17" s="103"/>
      <c r="ME17" s="103"/>
      <c r="MF17" s="103"/>
      <c r="MG17" s="103"/>
      <c r="MH17" s="103"/>
      <c r="MI17" s="103"/>
      <c r="MJ17" s="103"/>
      <c r="MK17" s="103"/>
      <c r="ML17" s="103"/>
      <c r="MM17" s="103"/>
      <c r="MN17" s="103"/>
      <c r="MO17" s="103"/>
      <c r="MP17" s="103"/>
      <c r="MQ17" s="2"/>
      <c r="MR17" s="2"/>
      <c r="MS17" s="2"/>
      <c r="MT17" s="2"/>
      <c r="MU17" s="2"/>
      <c r="MV17" s="2"/>
      <c r="MW17" s="2"/>
      <c r="MX17" s="2"/>
      <c r="MY17" s="2"/>
      <c r="MZ17" s="2"/>
      <c r="NA17" s="2"/>
      <c r="NB17" s="5"/>
      <c r="NC17" s="37" cm="1">
        <f t="array" aca="1" ref="NC17" ca="1">nbColor(B17:NB17)</f>
        <v>0</v>
      </c>
    </row>
    <row r="18" spans="1:387" x14ac:dyDescent="0.25">
      <c r="A18" s="27" t="s">
        <v>39</v>
      </c>
      <c r="B18" s="42"/>
      <c r="C18" s="2"/>
      <c r="D18" s="2"/>
      <c r="E18" s="2"/>
      <c r="F18" s="2"/>
      <c r="G18" s="2"/>
      <c r="H18" s="2"/>
      <c r="I18" s="2"/>
      <c r="J18" s="29"/>
      <c r="K18" s="2"/>
      <c r="L18" s="2"/>
      <c r="M18" s="2"/>
      <c r="N18" s="2"/>
      <c r="O18" s="2"/>
      <c r="P18" s="2"/>
      <c r="Q18" s="2"/>
      <c r="R18" s="2"/>
      <c r="S18" s="2"/>
      <c r="T18" s="2"/>
      <c r="U18" s="2"/>
      <c r="V18" s="2"/>
      <c r="W18" s="2"/>
      <c r="X18" s="2"/>
      <c r="Y18" s="2"/>
      <c r="Z18" s="2"/>
      <c r="AA18" s="2"/>
      <c r="AB18" s="2"/>
      <c r="AC18" s="2"/>
      <c r="AD18" s="2"/>
      <c r="AE18" s="2"/>
      <c r="AF18" s="5"/>
      <c r="AG18" s="3"/>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3"/>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5"/>
      <c r="CN18" s="3"/>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3"/>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5"/>
      <c r="EW18" s="3"/>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3"/>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5"/>
      <c r="HF18" s="3"/>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5"/>
      <c r="IK18" s="3"/>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3"/>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5"/>
      <c r="KT18" s="3"/>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103"/>
      <c r="LW18" s="103"/>
      <c r="LX18" s="106"/>
      <c r="LY18" s="103"/>
      <c r="LZ18" s="103"/>
      <c r="MA18" s="103"/>
      <c r="MB18" s="103"/>
      <c r="MC18" s="103"/>
      <c r="MD18" s="103"/>
      <c r="ME18" s="103"/>
      <c r="MF18" s="103"/>
      <c r="MG18" s="103"/>
      <c r="MH18" s="103"/>
      <c r="MI18" s="103"/>
      <c r="MJ18" s="103"/>
      <c r="MK18" s="103"/>
      <c r="ML18" s="103"/>
      <c r="MM18" s="103"/>
      <c r="MN18" s="103"/>
      <c r="MO18" s="103"/>
      <c r="MP18" s="103"/>
      <c r="MQ18" s="2"/>
      <c r="MR18" s="2"/>
      <c r="MS18" s="2"/>
      <c r="MT18" s="2"/>
      <c r="MU18" s="2"/>
      <c r="MV18" s="2"/>
      <c r="MW18" s="2"/>
      <c r="MX18" s="2"/>
      <c r="MY18" s="2"/>
      <c r="MZ18" s="2"/>
      <c r="NA18" s="2"/>
      <c r="NB18" s="5"/>
      <c r="NC18" s="37" cm="1">
        <f t="array" aca="1" ref="NC18" ca="1">nbColor(B18:NB18)</f>
        <v>0</v>
      </c>
    </row>
    <row r="19" spans="1:387" x14ac:dyDescent="0.25">
      <c r="A19" s="27" t="s">
        <v>12</v>
      </c>
      <c r="B19" s="42"/>
      <c r="C19" s="2"/>
      <c r="D19" s="2"/>
      <c r="E19" s="2"/>
      <c r="F19" s="2"/>
      <c r="G19" s="2"/>
      <c r="H19" s="2"/>
      <c r="I19" s="2"/>
      <c r="J19" s="29"/>
      <c r="K19" s="2"/>
      <c r="L19" s="2"/>
      <c r="M19" s="2"/>
      <c r="N19" s="2"/>
      <c r="O19" s="2"/>
      <c r="P19" s="2"/>
      <c r="Q19" s="2"/>
      <c r="R19" s="2"/>
      <c r="S19" s="2"/>
      <c r="T19" s="2"/>
      <c r="U19" s="2"/>
      <c r="V19" s="2"/>
      <c r="W19" s="2"/>
      <c r="X19" s="2"/>
      <c r="Y19" s="2"/>
      <c r="Z19" s="2"/>
      <c r="AA19" s="2"/>
      <c r="AB19" s="2"/>
      <c r="AC19" s="2"/>
      <c r="AD19" s="2"/>
      <c r="AE19" s="2"/>
      <c r="AF19" s="5"/>
      <c r="AG19" s="3"/>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3"/>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5"/>
      <c r="CN19" s="3"/>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3"/>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5"/>
      <c r="EW19" s="3"/>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3"/>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5"/>
      <c r="HF19" s="3"/>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5"/>
      <c r="IK19" s="3"/>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3"/>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5"/>
      <c r="KT19" s="3"/>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103"/>
      <c r="LW19" s="103"/>
      <c r="LX19" s="106"/>
      <c r="LY19" s="103"/>
      <c r="LZ19" s="103"/>
      <c r="MA19" s="103"/>
      <c r="MB19" s="103"/>
      <c r="MC19" s="103"/>
      <c r="MD19" s="103"/>
      <c r="ME19" s="103"/>
      <c r="MF19" s="103"/>
      <c r="MG19" s="103"/>
      <c r="MH19" s="103"/>
      <c r="MI19" s="103"/>
      <c r="MJ19" s="103"/>
      <c r="MK19" s="103"/>
      <c r="ML19" s="103"/>
      <c r="MM19" s="103"/>
      <c r="MN19" s="103"/>
      <c r="MO19" s="103"/>
      <c r="MP19" s="103"/>
      <c r="MQ19" s="2"/>
      <c r="MR19" s="103"/>
      <c r="MS19" s="2"/>
      <c r="MT19" s="2"/>
      <c r="MU19" s="2"/>
      <c r="MV19" s="2"/>
      <c r="MW19" s="2"/>
      <c r="MX19" s="2"/>
      <c r="MY19" s="2"/>
      <c r="MZ19" s="2"/>
      <c r="NA19" s="2"/>
      <c r="NB19" s="5"/>
      <c r="NC19" s="37" cm="1">
        <f t="array" aca="1" ref="NC19" ca="1">nbColor(B19:NB19)</f>
        <v>0</v>
      </c>
    </row>
    <row r="20" spans="1:387" x14ac:dyDescent="0.25">
      <c r="A20" s="27" t="s">
        <v>14</v>
      </c>
      <c r="B20" s="42"/>
      <c r="C20" s="2"/>
      <c r="D20" s="2"/>
      <c r="E20" s="2"/>
      <c r="F20" s="2"/>
      <c r="G20" s="2"/>
      <c r="H20" s="2"/>
      <c r="I20" s="2"/>
      <c r="J20" s="29"/>
      <c r="K20" s="2"/>
      <c r="L20" s="2"/>
      <c r="M20" s="2"/>
      <c r="N20" s="2"/>
      <c r="O20" s="2"/>
      <c r="P20" s="2"/>
      <c r="Q20" s="2"/>
      <c r="R20" s="2"/>
      <c r="S20" s="2"/>
      <c r="T20" s="2"/>
      <c r="U20" s="2"/>
      <c r="V20" s="2"/>
      <c r="W20" s="2"/>
      <c r="X20" s="2"/>
      <c r="Y20" s="2"/>
      <c r="Z20" s="2"/>
      <c r="AA20" s="2"/>
      <c r="AB20" s="2"/>
      <c r="AC20" s="2"/>
      <c r="AD20" s="2"/>
      <c r="AE20" s="2"/>
      <c r="AF20" s="5"/>
      <c r="AG20" s="3"/>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3"/>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5"/>
      <c r="CN20" s="3"/>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3"/>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5"/>
      <c r="EW20" s="3"/>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3"/>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5"/>
      <c r="HF20" s="3"/>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5"/>
      <c r="IK20" s="3"/>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3"/>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5"/>
      <c r="KT20" s="3"/>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103"/>
      <c r="LW20" s="103"/>
      <c r="LX20" s="106"/>
      <c r="LY20" s="103"/>
      <c r="LZ20" s="103"/>
      <c r="MA20" s="103"/>
      <c r="MB20" s="103"/>
      <c r="MC20" s="103"/>
      <c r="MD20" s="103"/>
      <c r="ME20" s="103"/>
      <c r="MF20" s="103"/>
      <c r="MG20" s="103"/>
      <c r="MH20" s="103"/>
      <c r="MI20" s="103"/>
      <c r="MJ20" s="103"/>
      <c r="MK20" s="103"/>
      <c r="ML20" s="103"/>
      <c r="MM20" s="103"/>
      <c r="MN20" s="103"/>
      <c r="MO20" s="103"/>
      <c r="MP20" s="103"/>
      <c r="MQ20" s="2"/>
      <c r="MR20" s="2"/>
      <c r="MS20" s="2"/>
      <c r="MT20" s="2"/>
      <c r="MU20" s="2"/>
      <c r="MV20" s="2"/>
      <c r="MW20" s="2"/>
      <c r="MX20" s="2"/>
      <c r="MY20" s="2"/>
      <c r="MZ20" s="2"/>
      <c r="NA20" s="2"/>
      <c r="NB20" s="5"/>
      <c r="NC20" s="37" cm="1">
        <f t="array" aca="1" ref="NC20" ca="1">nbColor(B20:NB20)</f>
        <v>0</v>
      </c>
    </row>
    <row r="21" spans="1:387" x14ac:dyDescent="0.25">
      <c r="A21" s="28" t="s">
        <v>4</v>
      </c>
      <c r="B21" s="42"/>
      <c r="C21" s="2"/>
      <c r="D21" s="2"/>
      <c r="E21" s="2"/>
      <c r="F21" s="2"/>
      <c r="G21" s="2"/>
      <c r="H21" s="2"/>
      <c r="I21" s="2"/>
      <c r="J21" s="29"/>
      <c r="K21" s="2"/>
      <c r="L21" s="2"/>
      <c r="M21" s="2"/>
      <c r="N21" s="2"/>
      <c r="O21" s="2"/>
      <c r="P21" s="2"/>
      <c r="Q21" s="2"/>
      <c r="R21" s="2"/>
      <c r="S21" s="2"/>
      <c r="T21" s="2"/>
      <c r="U21" s="2"/>
      <c r="V21" s="2"/>
      <c r="W21" s="2"/>
      <c r="X21" s="2"/>
      <c r="Y21" s="2"/>
      <c r="Z21" s="2"/>
      <c r="AA21" s="2"/>
      <c r="AB21" s="2"/>
      <c r="AC21" s="2"/>
      <c r="AD21" s="2"/>
      <c r="AE21" s="2"/>
      <c r="AF21" s="5"/>
      <c r="AG21" s="3"/>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3"/>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5"/>
      <c r="CN21" s="3"/>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3"/>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5"/>
      <c r="EW21" s="3"/>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3"/>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5"/>
      <c r="HF21" s="3"/>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5"/>
      <c r="IK21" s="3"/>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3"/>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5"/>
      <c r="KT21" s="3"/>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3"/>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5"/>
      <c r="NC21" s="37" cm="1">
        <f t="array" aca="1" ref="NC21" ca="1">nbColor(B21:NB21)</f>
        <v>0</v>
      </c>
    </row>
    <row r="22" spans="1:387" x14ac:dyDescent="0.25">
      <c r="A22" s="27" t="s">
        <v>40</v>
      </c>
      <c r="B22" s="42"/>
      <c r="C22" s="2"/>
      <c r="D22" s="2"/>
      <c r="E22" s="2"/>
      <c r="F22" s="2"/>
      <c r="G22" s="2"/>
      <c r="H22" s="2"/>
      <c r="I22" s="2"/>
      <c r="J22" s="29"/>
      <c r="K22" s="2"/>
      <c r="L22" s="2"/>
      <c r="M22" s="2"/>
      <c r="N22" s="2"/>
      <c r="O22" s="2"/>
      <c r="P22" s="2"/>
      <c r="Q22" s="2"/>
      <c r="R22" s="2"/>
      <c r="S22" s="2"/>
      <c r="T22" s="2"/>
      <c r="U22" s="2"/>
      <c r="V22" s="2"/>
      <c r="W22" s="2"/>
      <c r="X22" s="2"/>
      <c r="Y22" s="2"/>
      <c r="Z22" s="2"/>
      <c r="AA22" s="2"/>
      <c r="AB22" s="2"/>
      <c r="AC22" s="2"/>
      <c r="AD22" s="2"/>
      <c r="AE22" s="2"/>
      <c r="AF22" s="5"/>
      <c r="AG22" s="3"/>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3"/>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5"/>
      <c r="CN22" s="3"/>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3"/>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5"/>
      <c r="EW22" s="3"/>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3"/>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5"/>
      <c r="HF22" s="3"/>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5"/>
      <c r="IK22" s="3"/>
      <c r="IL22" s="2"/>
      <c r="IM22" s="2"/>
      <c r="IN22" s="2"/>
      <c r="IO22" s="2"/>
      <c r="IP22" s="2"/>
      <c r="IQ22" s="2"/>
      <c r="IR22" s="2"/>
      <c r="IS22" s="2"/>
      <c r="IT22" s="2"/>
      <c r="IU22" s="2"/>
      <c r="IV22" s="2"/>
      <c r="IW22" s="2"/>
      <c r="IX22" s="2"/>
      <c r="IY22" s="2"/>
      <c r="IZ22" s="2"/>
      <c r="JA22" s="2"/>
      <c r="JB22" s="2"/>
      <c r="JC22" s="2"/>
      <c r="JD22" s="2"/>
      <c r="JE22" s="2"/>
      <c r="JF22" s="2"/>
      <c r="JG22" s="2"/>
      <c r="JH22" s="2"/>
      <c r="JI22" s="2"/>
      <c r="JJ22" s="2"/>
      <c r="JK22" s="2"/>
      <c r="JL22" s="2"/>
      <c r="JM22" s="2"/>
      <c r="JN22" s="2"/>
      <c r="JO22" s="3"/>
      <c r="JP22" s="2"/>
      <c r="JQ22" s="2"/>
      <c r="JR22" s="2"/>
      <c r="JS22" s="2"/>
      <c r="JT22" s="2"/>
      <c r="JU22" s="2"/>
      <c r="JV22" s="2"/>
      <c r="JW22" s="2"/>
      <c r="JX22" s="2"/>
      <c r="JY22" s="2"/>
      <c r="JZ22" s="2"/>
      <c r="KA22" s="2"/>
      <c r="KB22" s="2"/>
      <c r="KC22" s="2"/>
      <c r="KD22" s="2"/>
      <c r="KE22" s="2"/>
      <c r="KF22" s="2"/>
      <c r="KG22" s="2"/>
      <c r="KH22" s="2"/>
      <c r="KI22" s="2"/>
      <c r="KJ22" s="2"/>
      <c r="KK22" s="2"/>
      <c r="KL22" s="2"/>
      <c r="KM22" s="2"/>
      <c r="KN22" s="2"/>
      <c r="KO22" s="2"/>
      <c r="KP22" s="2"/>
      <c r="KQ22" s="2"/>
      <c r="KR22" s="2"/>
      <c r="KS22" s="5"/>
      <c r="KT22" s="3"/>
      <c r="KU22" s="2"/>
      <c r="KV22" s="2"/>
      <c r="KW22" s="2"/>
      <c r="KX22" s="2"/>
      <c r="KY22" s="2"/>
      <c r="KZ22" s="2"/>
      <c r="LA22" s="2"/>
      <c r="LB22" s="2"/>
      <c r="LC22" s="2"/>
      <c r="LD22" s="2"/>
      <c r="LE22" s="2"/>
      <c r="LF22" s="2"/>
      <c r="LG22" s="2"/>
      <c r="LH22" s="2"/>
      <c r="LI22" s="2"/>
      <c r="LJ22" s="2"/>
      <c r="LK22" s="2"/>
      <c r="LL22" s="2"/>
      <c r="LM22" s="2"/>
      <c r="LN22" s="2"/>
      <c r="LO22" s="2"/>
      <c r="LP22" s="2"/>
      <c r="LQ22" s="2"/>
      <c r="LR22" s="2"/>
      <c r="LS22" s="2"/>
      <c r="LT22" s="2"/>
      <c r="LU22" s="2"/>
      <c r="LV22" s="2"/>
      <c r="LW22" s="2"/>
      <c r="LX22" s="3"/>
      <c r="LY22" s="2"/>
      <c r="LZ22" s="2"/>
      <c r="MA22" s="2"/>
      <c r="MB22" s="2"/>
      <c r="MC22" s="2"/>
      <c r="MD22" s="2"/>
      <c r="ME22" s="2"/>
      <c r="MF22" s="2"/>
      <c r="MG22" s="2"/>
      <c r="MH22" s="2"/>
      <c r="MI22" s="2"/>
      <c r="MJ22" s="2"/>
      <c r="MK22" s="2"/>
      <c r="ML22" s="2"/>
      <c r="MM22" s="2"/>
      <c r="MN22" s="2"/>
      <c r="MO22" s="2"/>
      <c r="MP22" s="2"/>
      <c r="MQ22" s="2"/>
      <c r="MR22" s="2"/>
      <c r="MS22" s="2"/>
      <c r="MT22" s="2"/>
      <c r="MU22" s="2"/>
      <c r="MV22" s="2"/>
      <c r="MW22" s="2"/>
      <c r="MX22" s="2"/>
      <c r="MY22" s="2"/>
      <c r="MZ22" s="2"/>
      <c r="NA22" s="2"/>
      <c r="NB22" s="5"/>
      <c r="NC22" s="37" cm="1">
        <f t="array" aca="1" ref="NC22" ca="1">nbColor(B22:NB22)</f>
        <v>0</v>
      </c>
    </row>
    <row r="23" spans="1:387" x14ac:dyDescent="0.25">
      <c r="A23" s="27" t="s">
        <v>41</v>
      </c>
      <c r="B23" s="42"/>
      <c r="C23" s="2"/>
      <c r="D23" s="2"/>
      <c r="E23" s="2"/>
      <c r="F23" s="2"/>
      <c r="G23" s="2"/>
      <c r="H23" s="2"/>
      <c r="I23" s="2"/>
      <c r="J23" s="29"/>
      <c r="K23" s="2"/>
      <c r="L23" s="2"/>
      <c r="M23" s="2"/>
      <c r="N23" s="2"/>
      <c r="O23" s="2"/>
      <c r="P23" s="2"/>
      <c r="Q23" s="2"/>
      <c r="R23" s="2"/>
      <c r="S23" s="2"/>
      <c r="T23" s="2"/>
      <c r="U23" s="2"/>
      <c r="V23" s="2"/>
      <c r="W23" s="2"/>
      <c r="X23" s="2"/>
      <c r="Y23" s="2"/>
      <c r="Z23" s="2"/>
      <c r="AA23" s="2"/>
      <c r="AB23" s="2"/>
      <c r="AC23" s="2"/>
      <c r="AD23" s="2"/>
      <c r="AE23" s="2"/>
      <c r="AF23" s="5"/>
      <c r="AG23" s="3"/>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3"/>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5"/>
      <c r="CN23" s="3"/>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3"/>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5"/>
      <c r="EW23" s="3"/>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3"/>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5"/>
      <c r="HF23" s="3"/>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5"/>
      <c r="IK23" s="3"/>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3"/>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5"/>
      <c r="KT23" s="3"/>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3"/>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5"/>
      <c r="NC23" s="37" cm="1">
        <f t="array" aca="1" ref="NC23" ca="1">nbColor(B23:NB23)</f>
        <v>0</v>
      </c>
    </row>
    <row r="24" spans="1:387" x14ac:dyDescent="0.25">
      <c r="A24" s="27" t="s">
        <v>42</v>
      </c>
      <c r="B24" s="42"/>
      <c r="C24" s="2"/>
      <c r="D24" s="2"/>
      <c r="E24" s="2"/>
      <c r="F24" s="2"/>
      <c r="G24" s="2"/>
      <c r="H24" s="2"/>
      <c r="I24" s="2"/>
      <c r="J24" s="29"/>
      <c r="K24" s="2"/>
      <c r="L24" s="2"/>
      <c r="M24" s="2"/>
      <c r="N24" s="2"/>
      <c r="O24" s="2"/>
      <c r="P24" s="2"/>
      <c r="Q24" s="2"/>
      <c r="R24" s="2"/>
      <c r="S24" s="2"/>
      <c r="T24" s="2"/>
      <c r="U24" s="2"/>
      <c r="V24" s="2"/>
      <c r="W24" s="2"/>
      <c r="X24" s="2"/>
      <c r="Y24" s="2"/>
      <c r="Z24" s="2"/>
      <c r="AA24" s="2"/>
      <c r="AB24" s="2"/>
      <c r="AC24" s="2"/>
      <c r="AD24" s="2"/>
      <c r="AE24" s="2"/>
      <c r="AF24" s="5"/>
      <c r="AG24" s="3"/>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3"/>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5"/>
      <c r="CN24" s="3"/>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3"/>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5"/>
      <c r="EW24" s="3"/>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3"/>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5"/>
      <c r="HF24" s="3"/>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5"/>
      <c r="IK24" s="3"/>
      <c r="IL24" s="2"/>
      <c r="IM24" s="2"/>
      <c r="IN24" s="2"/>
      <c r="IO24" s="2"/>
      <c r="IP24" s="2"/>
      <c r="IQ24" s="2"/>
      <c r="IR24" s="2"/>
      <c r="IS24" s="2"/>
      <c r="IT24" s="2"/>
      <c r="IU24" s="2"/>
      <c r="IV24" s="2"/>
      <c r="IW24" s="2"/>
      <c r="IX24" s="2"/>
      <c r="IY24" s="2"/>
      <c r="IZ24" s="2"/>
      <c r="JA24" s="2"/>
      <c r="JB24" s="2"/>
      <c r="JC24" s="2"/>
      <c r="JD24" s="2"/>
      <c r="JE24" s="2"/>
      <c r="JF24" s="2"/>
      <c r="JG24" s="2"/>
      <c r="JH24" s="2"/>
      <c r="JI24" s="2"/>
      <c r="JJ24" s="2"/>
      <c r="JK24" s="2"/>
      <c r="JL24" s="2"/>
      <c r="JM24" s="2"/>
      <c r="JN24" s="2"/>
      <c r="JO24" s="3"/>
      <c r="JP24" s="2"/>
      <c r="JQ24" s="2"/>
      <c r="JR24" s="2"/>
      <c r="JS24" s="2"/>
      <c r="JT24" s="2"/>
      <c r="JU24" s="2"/>
      <c r="JV24" s="2"/>
      <c r="JW24" s="2"/>
      <c r="JX24" s="2"/>
      <c r="JY24" s="2"/>
      <c r="JZ24" s="2"/>
      <c r="KA24" s="2"/>
      <c r="KB24" s="2"/>
      <c r="KC24" s="2"/>
      <c r="KD24" s="2"/>
      <c r="KE24" s="2"/>
      <c r="KF24" s="2"/>
      <c r="KG24" s="2"/>
      <c r="KH24" s="2"/>
      <c r="KI24" s="2"/>
      <c r="KJ24" s="2"/>
      <c r="KK24" s="2"/>
      <c r="KL24" s="2"/>
      <c r="KM24" s="2"/>
      <c r="KN24" s="2"/>
      <c r="KO24" s="2"/>
      <c r="KP24" s="2"/>
      <c r="KQ24" s="2"/>
      <c r="KR24" s="2"/>
      <c r="KS24" s="5"/>
      <c r="KT24" s="3"/>
      <c r="KU24" s="2"/>
      <c r="KV24" s="2"/>
      <c r="KW24" s="2"/>
      <c r="KX24" s="2"/>
      <c r="KY24" s="2"/>
      <c r="KZ24" s="2"/>
      <c r="LA24" s="2"/>
      <c r="LB24" s="2"/>
      <c r="LC24" s="2"/>
      <c r="LD24" s="2"/>
      <c r="LE24" s="2"/>
      <c r="LF24" s="2"/>
      <c r="LG24" s="2"/>
      <c r="LH24" s="2"/>
      <c r="LI24" s="2"/>
      <c r="LJ24" s="2"/>
      <c r="LK24" s="2"/>
      <c r="LL24" s="2"/>
      <c r="LM24" s="2"/>
      <c r="LN24" s="2"/>
      <c r="LO24" s="2"/>
      <c r="LP24" s="2"/>
      <c r="LQ24" s="2"/>
      <c r="LR24" s="2"/>
      <c r="LS24" s="2"/>
      <c r="LT24" s="2"/>
      <c r="LU24" s="2"/>
      <c r="LV24" s="2"/>
      <c r="LW24" s="2"/>
      <c r="LX24" s="3"/>
      <c r="LY24" s="2"/>
      <c r="LZ24" s="2"/>
      <c r="MA24" s="2"/>
      <c r="MB24" s="2"/>
      <c r="MC24" s="2"/>
      <c r="MD24" s="2"/>
      <c r="ME24" s="2"/>
      <c r="MF24" s="2"/>
      <c r="MG24" s="2"/>
      <c r="MH24" s="2"/>
      <c r="MI24" s="2"/>
      <c r="MJ24" s="2"/>
      <c r="MK24" s="2"/>
      <c r="ML24" s="2"/>
      <c r="MM24" s="2"/>
      <c r="MN24" s="2"/>
      <c r="MO24" s="2"/>
      <c r="MP24" s="2"/>
      <c r="MQ24" s="2"/>
      <c r="MR24" s="2"/>
      <c r="MS24" s="2"/>
      <c r="MT24" s="2"/>
      <c r="MU24" s="2"/>
      <c r="MV24" s="2"/>
      <c r="MW24" s="2"/>
      <c r="MX24" s="2"/>
      <c r="MY24" s="2"/>
      <c r="MZ24" s="2"/>
      <c r="NA24" s="2"/>
      <c r="NB24" s="5"/>
      <c r="NC24" s="37" cm="1">
        <f t="array" aca="1" ref="NC24" ca="1">nbColor(B24:NB24)</f>
        <v>0</v>
      </c>
    </row>
    <row r="25" spans="1:387" x14ac:dyDescent="0.25">
      <c r="A25" s="45" t="s">
        <v>19</v>
      </c>
      <c r="B25" s="42"/>
      <c r="C25" s="2"/>
      <c r="D25" s="2"/>
      <c r="E25" s="2"/>
      <c r="F25" s="2"/>
      <c r="G25" s="2"/>
      <c r="H25" s="2"/>
      <c r="I25" s="2"/>
      <c r="J25" s="29"/>
      <c r="K25" s="2"/>
      <c r="L25" s="2"/>
      <c r="M25" s="2"/>
      <c r="N25" s="2"/>
      <c r="O25" s="2"/>
      <c r="P25" s="2"/>
      <c r="Q25" s="2"/>
      <c r="R25" s="2"/>
      <c r="S25" s="2"/>
      <c r="T25" s="2"/>
      <c r="U25" s="2"/>
      <c r="V25" s="2"/>
      <c r="W25" s="2"/>
      <c r="X25" s="2"/>
      <c r="Y25" s="2"/>
      <c r="Z25" s="2"/>
      <c r="AA25" s="2"/>
      <c r="AB25" s="2"/>
      <c r="AC25" s="2"/>
      <c r="AD25" s="2"/>
      <c r="AE25" s="2"/>
      <c r="AF25" s="5"/>
      <c r="AG25" s="3"/>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3"/>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5"/>
      <c r="CN25" s="3"/>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3"/>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5"/>
      <c r="EW25" s="3"/>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3"/>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5"/>
      <c r="HF25" s="3"/>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5"/>
      <c r="IK25" s="3"/>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3"/>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5"/>
      <c r="KT25" s="3"/>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3"/>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5"/>
      <c r="NC25" s="37" cm="1">
        <f t="array" aca="1" ref="NC25" ca="1">nbColor(B25:NB25)</f>
        <v>0</v>
      </c>
    </row>
    <row r="26" spans="1:387" x14ac:dyDescent="0.25">
      <c r="A26" s="45" t="s">
        <v>10</v>
      </c>
      <c r="B26" s="42"/>
      <c r="C26" s="2"/>
      <c r="D26" s="2"/>
      <c r="E26" s="2"/>
      <c r="F26" s="2"/>
      <c r="G26" s="2"/>
      <c r="H26" s="2"/>
      <c r="I26" s="2"/>
      <c r="J26" s="29"/>
      <c r="K26" s="2"/>
      <c r="L26" s="2"/>
      <c r="M26" s="2"/>
      <c r="N26" s="2"/>
      <c r="O26" s="2"/>
      <c r="P26" s="2"/>
      <c r="Q26" s="2"/>
      <c r="R26" s="2"/>
      <c r="S26" s="2"/>
      <c r="T26" s="2"/>
      <c r="U26" s="2"/>
      <c r="V26" s="2"/>
      <c r="W26" s="2"/>
      <c r="X26" s="2"/>
      <c r="Y26" s="2"/>
      <c r="Z26" s="2"/>
      <c r="AA26" s="2"/>
      <c r="AB26" s="2"/>
      <c r="AC26" s="2"/>
      <c r="AD26" s="2"/>
      <c r="AE26" s="2"/>
      <c r="AF26" s="5"/>
      <c r="AG26" s="3"/>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3"/>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5"/>
      <c r="CN26" s="3"/>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3"/>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5"/>
      <c r="EW26" s="3"/>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3"/>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5"/>
      <c r="HF26" s="3"/>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5"/>
      <c r="IK26" s="3"/>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3"/>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5"/>
      <c r="KT26" s="3"/>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3"/>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5"/>
      <c r="NC26" s="37" cm="1">
        <f t="array" aca="1" ref="NC26" ca="1">nbColor(B26:NB26)</f>
        <v>0</v>
      </c>
    </row>
    <row r="27" spans="1:387" x14ac:dyDescent="0.25">
      <c r="A27" s="45" t="s">
        <v>13</v>
      </c>
      <c r="B27" s="42"/>
      <c r="C27" s="2"/>
      <c r="D27" s="2"/>
      <c r="E27" s="2"/>
      <c r="F27" s="2"/>
      <c r="G27" s="2"/>
      <c r="H27" s="2"/>
      <c r="I27" s="2"/>
      <c r="J27" s="29"/>
      <c r="K27" s="2"/>
      <c r="L27" s="2"/>
      <c r="M27" s="2"/>
      <c r="N27" s="2"/>
      <c r="O27" s="2"/>
      <c r="P27" s="2"/>
      <c r="Q27" s="2"/>
      <c r="R27" s="2"/>
      <c r="S27" s="2"/>
      <c r="T27" s="2"/>
      <c r="U27" s="2"/>
      <c r="V27" s="2"/>
      <c r="W27" s="2"/>
      <c r="X27" s="2"/>
      <c r="Y27" s="2"/>
      <c r="Z27" s="2"/>
      <c r="AA27" s="2"/>
      <c r="AB27" s="2"/>
      <c r="AC27" s="2"/>
      <c r="AD27" s="2"/>
      <c r="AE27" s="2"/>
      <c r="AF27" s="5"/>
      <c r="AG27" s="3"/>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3"/>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5"/>
      <c r="CN27" s="3"/>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3"/>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5"/>
      <c r="EW27" s="3"/>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3"/>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5"/>
      <c r="HF27" s="3"/>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5"/>
      <c r="IK27" s="3"/>
      <c r="IL27" s="2"/>
      <c r="IM27" s="2"/>
      <c r="IN27" s="2"/>
      <c r="IO27" s="2"/>
      <c r="IP27" s="2"/>
      <c r="IQ27" s="2"/>
      <c r="IR27" s="2"/>
      <c r="IS27" s="2"/>
      <c r="IT27" s="2"/>
      <c r="IU27" s="2"/>
      <c r="IV27" s="2"/>
      <c r="IW27" s="2"/>
      <c r="IX27" s="2"/>
      <c r="IY27" s="2"/>
      <c r="IZ27" s="2"/>
      <c r="JA27" s="2"/>
      <c r="JB27" s="2"/>
      <c r="JC27" s="2"/>
      <c r="JD27" s="2"/>
      <c r="JE27" s="2"/>
      <c r="JF27" s="2"/>
      <c r="JG27" s="2"/>
      <c r="JH27" s="2"/>
      <c r="JI27" s="2"/>
      <c r="JJ27" s="2"/>
      <c r="JK27" s="2"/>
      <c r="JL27" s="2"/>
      <c r="JM27" s="2"/>
      <c r="JN27" s="2"/>
      <c r="JO27" s="3"/>
      <c r="JP27" s="2"/>
      <c r="JQ27" s="2"/>
      <c r="JR27" s="2"/>
      <c r="JS27" s="2"/>
      <c r="JT27" s="2"/>
      <c r="JU27" s="2"/>
      <c r="JV27" s="2"/>
      <c r="JW27" s="2"/>
      <c r="JX27" s="2"/>
      <c r="JY27" s="2"/>
      <c r="JZ27" s="2"/>
      <c r="KA27" s="2"/>
      <c r="KB27" s="2"/>
      <c r="KC27" s="2"/>
      <c r="KD27" s="2"/>
      <c r="KE27" s="2"/>
      <c r="KF27" s="2"/>
      <c r="KG27" s="2"/>
      <c r="KH27" s="2"/>
      <c r="KI27" s="2"/>
      <c r="KJ27" s="2"/>
      <c r="KK27" s="2"/>
      <c r="KL27" s="2"/>
      <c r="KM27" s="2"/>
      <c r="KN27" s="2"/>
      <c r="KO27" s="2"/>
      <c r="KP27" s="2"/>
      <c r="KQ27" s="2"/>
      <c r="KR27" s="2"/>
      <c r="KS27" s="5"/>
      <c r="KT27" s="3"/>
      <c r="KU27" s="2"/>
      <c r="KV27" s="2"/>
      <c r="KW27" s="2"/>
      <c r="KX27" s="2"/>
      <c r="KY27" s="2"/>
      <c r="KZ27" s="2"/>
      <c r="LA27" s="2"/>
      <c r="LB27" s="2"/>
      <c r="LC27" s="2"/>
      <c r="LD27" s="2"/>
      <c r="LE27" s="2"/>
      <c r="LF27" s="2"/>
      <c r="LG27" s="2"/>
      <c r="LH27" s="2"/>
      <c r="LI27" s="2"/>
      <c r="LJ27" s="2"/>
      <c r="LK27" s="2"/>
      <c r="LL27" s="2"/>
      <c r="LM27" s="2"/>
      <c r="LN27" s="2"/>
      <c r="LO27" s="2"/>
      <c r="LP27" s="2"/>
      <c r="LQ27" s="2"/>
      <c r="LR27" s="2"/>
      <c r="LS27" s="2"/>
      <c r="LT27" s="2"/>
      <c r="LU27" s="2"/>
      <c r="LV27" s="2"/>
      <c r="LW27" s="2"/>
      <c r="LX27" s="3"/>
      <c r="LY27" s="2"/>
      <c r="LZ27" s="2"/>
      <c r="MA27" s="2"/>
      <c r="MB27" s="2"/>
      <c r="MC27" s="2"/>
      <c r="MD27" s="2"/>
      <c r="ME27" s="2"/>
      <c r="MF27" s="2"/>
      <c r="MG27" s="2"/>
      <c r="MH27" s="2"/>
      <c r="MI27" s="2"/>
      <c r="MJ27" s="2"/>
      <c r="MK27" s="2"/>
      <c r="ML27" s="2"/>
      <c r="MM27" s="2"/>
      <c r="MN27" s="2"/>
      <c r="MO27" s="2"/>
      <c r="MP27" s="2"/>
      <c r="MQ27" s="2"/>
      <c r="MR27" s="2"/>
      <c r="MS27" s="2"/>
      <c r="MT27" s="2"/>
      <c r="MU27" s="2"/>
      <c r="MV27" s="2"/>
      <c r="MW27" s="2"/>
      <c r="MX27" s="2"/>
      <c r="MY27" s="2"/>
      <c r="MZ27" s="2"/>
      <c r="NA27" s="2"/>
      <c r="NB27" s="5"/>
      <c r="NC27" s="37" cm="1">
        <f t="array" aca="1" ref="NC27" ca="1">nbColor(B27:NB27)</f>
        <v>0</v>
      </c>
    </row>
    <row r="28" spans="1:387" ht="16.5" thickBot="1" x14ac:dyDescent="0.3">
      <c r="A28" s="105" t="s">
        <v>11</v>
      </c>
      <c r="B28" s="43"/>
      <c r="C28" s="31"/>
      <c r="D28" s="31"/>
      <c r="E28" s="31"/>
      <c r="F28" s="31"/>
      <c r="G28" s="31"/>
      <c r="H28" s="31"/>
      <c r="I28" s="31"/>
      <c r="J28" s="32"/>
      <c r="K28" s="31"/>
      <c r="L28" s="31"/>
      <c r="M28" s="31"/>
      <c r="N28" s="31"/>
      <c r="O28" s="31"/>
      <c r="P28" s="31"/>
      <c r="Q28" s="31"/>
      <c r="R28" s="31"/>
      <c r="S28" s="31"/>
      <c r="T28" s="31"/>
      <c r="U28" s="31"/>
      <c r="V28" s="31"/>
      <c r="W28" s="31"/>
      <c r="X28" s="31"/>
      <c r="Y28" s="31"/>
      <c r="Z28" s="31"/>
      <c r="AA28" s="31"/>
      <c r="AB28" s="31"/>
      <c r="AC28" s="31"/>
      <c r="AD28" s="31"/>
      <c r="AE28" s="31"/>
      <c r="AF28" s="33"/>
      <c r="AG28" s="30"/>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0"/>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3"/>
      <c r="CN28" s="30"/>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0"/>
      <c r="DS28" s="31"/>
      <c r="DT28" s="31"/>
      <c r="DU28" s="31"/>
      <c r="DV28" s="31"/>
      <c r="DW28" s="31"/>
      <c r="DX28" s="31"/>
      <c r="DY28" s="31"/>
      <c r="DZ28" s="31"/>
      <c r="EA28" s="31"/>
      <c r="EB28" s="31"/>
      <c r="EC28" s="31"/>
      <c r="ED28" s="31"/>
      <c r="EE28" s="31"/>
      <c r="EF28" s="31"/>
      <c r="EG28" s="31"/>
      <c r="EH28" s="31"/>
      <c r="EI28" s="31"/>
      <c r="EJ28" s="31"/>
      <c r="EK28" s="31"/>
      <c r="EL28" s="31"/>
      <c r="EM28" s="31"/>
      <c r="EN28" s="31"/>
      <c r="EO28" s="31"/>
      <c r="EP28" s="31"/>
      <c r="EQ28" s="31"/>
      <c r="ER28" s="31"/>
      <c r="ES28" s="31"/>
      <c r="ET28" s="31"/>
      <c r="EU28" s="31"/>
      <c r="EV28" s="33"/>
      <c r="EW28" s="30"/>
      <c r="EX28" s="31"/>
      <c r="EY28" s="31"/>
      <c r="EZ28" s="31"/>
      <c r="FA28" s="31"/>
      <c r="FB28" s="31"/>
      <c r="FC28" s="31"/>
      <c r="FD28" s="31"/>
      <c r="FE28" s="31"/>
      <c r="FF28" s="31"/>
      <c r="FG28" s="31"/>
      <c r="FH28" s="31"/>
      <c r="FI28" s="31"/>
      <c r="FJ28" s="31"/>
      <c r="FK28" s="31"/>
      <c r="FL28" s="31"/>
      <c r="FM28" s="31"/>
      <c r="FN28" s="31"/>
      <c r="FO28" s="31"/>
      <c r="FP28" s="31"/>
      <c r="FQ28" s="31"/>
      <c r="FR28" s="31"/>
      <c r="FS28" s="31"/>
      <c r="FT28" s="31"/>
      <c r="FU28" s="31"/>
      <c r="FV28" s="31"/>
      <c r="FW28" s="31"/>
      <c r="FX28" s="31"/>
      <c r="FY28" s="31"/>
      <c r="FZ28" s="31"/>
      <c r="GA28" s="30"/>
      <c r="GB28" s="31"/>
      <c r="GC28" s="31"/>
      <c r="GD28" s="31"/>
      <c r="GE28" s="31"/>
      <c r="GF28" s="31"/>
      <c r="GG28" s="31"/>
      <c r="GH28" s="31"/>
      <c r="GI28" s="31"/>
      <c r="GJ28" s="31"/>
      <c r="GK28" s="31"/>
      <c r="GL28" s="31"/>
      <c r="GM28" s="31"/>
      <c r="GN28" s="31"/>
      <c r="GO28" s="31"/>
      <c r="GP28" s="31"/>
      <c r="GQ28" s="31"/>
      <c r="GR28" s="31"/>
      <c r="GS28" s="31"/>
      <c r="GT28" s="31"/>
      <c r="GU28" s="31"/>
      <c r="GV28" s="31"/>
      <c r="GW28" s="31"/>
      <c r="GX28" s="31"/>
      <c r="GY28" s="31"/>
      <c r="GZ28" s="31"/>
      <c r="HA28" s="31"/>
      <c r="HB28" s="31"/>
      <c r="HC28" s="31"/>
      <c r="HD28" s="31"/>
      <c r="HE28" s="33"/>
      <c r="HF28" s="30"/>
      <c r="HG28" s="31"/>
      <c r="HH28" s="31"/>
      <c r="HI28" s="31"/>
      <c r="HJ28" s="31"/>
      <c r="HK28" s="31"/>
      <c r="HL28" s="31"/>
      <c r="HM28" s="31"/>
      <c r="HN28" s="31"/>
      <c r="HO28" s="31"/>
      <c r="HP28" s="31"/>
      <c r="HQ28" s="31"/>
      <c r="HR28" s="31"/>
      <c r="HS28" s="31"/>
      <c r="HT28" s="31"/>
      <c r="HU28" s="31"/>
      <c r="HV28" s="31"/>
      <c r="HW28" s="31"/>
      <c r="HX28" s="31"/>
      <c r="HY28" s="31"/>
      <c r="HZ28" s="31"/>
      <c r="IA28" s="31"/>
      <c r="IB28" s="31"/>
      <c r="IC28" s="31"/>
      <c r="ID28" s="31"/>
      <c r="IE28" s="31"/>
      <c r="IF28" s="31"/>
      <c r="IG28" s="31"/>
      <c r="IH28" s="31"/>
      <c r="II28" s="31"/>
      <c r="IJ28" s="33"/>
      <c r="IK28" s="30"/>
      <c r="IL28" s="31"/>
      <c r="IM28" s="31"/>
      <c r="IN28" s="31"/>
      <c r="IO28" s="31"/>
      <c r="IP28" s="31"/>
      <c r="IQ28" s="31"/>
      <c r="IR28" s="31"/>
      <c r="IS28" s="31"/>
      <c r="IT28" s="31"/>
      <c r="IU28" s="31"/>
      <c r="IV28" s="31"/>
      <c r="IW28" s="31"/>
      <c r="IX28" s="31"/>
      <c r="IY28" s="31"/>
      <c r="IZ28" s="31"/>
      <c r="JA28" s="31"/>
      <c r="JB28" s="31"/>
      <c r="JC28" s="31"/>
      <c r="JD28" s="31"/>
      <c r="JE28" s="31"/>
      <c r="JF28" s="31"/>
      <c r="JG28" s="31"/>
      <c r="JH28" s="31"/>
      <c r="JI28" s="31"/>
      <c r="JJ28" s="31"/>
      <c r="JK28" s="31"/>
      <c r="JL28" s="31"/>
      <c r="JM28" s="31"/>
      <c r="JN28" s="31"/>
      <c r="JO28" s="30"/>
      <c r="JP28" s="31"/>
      <c r="JQ28" s="31"/>
      <c r="JR28" s="31"/>
      <c r="JS28" s="31"/>
      <c r="JT28" s="31"/>
      <c r="JU28" s="31"/>
      <c r="JV28" s="31"/>
      <c r="JW28" s="31"/>
      <c r="JX28" s="31"/>
      <c r="JY28" s="31"/>
      <c r="JZ28" s="31"/>
      <c r="KA28" s="31"/>
      <c r="KB28" s="31"/>
      <c r="KC28" s="31"/>
      <c r="KD28" s="31"/>
      <c r="KE28" s="31"/>
      <c r="KF28" s="31"/>
      <c r="KG28" s="31"/>
      <c r="KH28" s="31"/>
      <c r="KI28" s="31"/>
      <c r="KJ28" s="31"/>
      <c r="KK28" s="31"/>
      <c r="KL28" s="31"/>
      <c r="KM28" s="31"/>
      <c r="KN28" s="31"/>
      <c r="KO28" s="31"/>
      <c r="KP28" s="31"/>
      <c r="KQ28" s="31"/>
      <c r="KR28" s="31"/>
      <c r="KS28" s="33"/>
      <c r="KT28" s="30"/>
      <c r="KU28" s="31"/>
      <c r="KV28" s="31"/>
      <c r="KW28" s="31"/>
      <c r="KX28" s="31"/>
      <c r="KY28" s="31"/>
      <c r="KZ28" s="31"/>
      <c r="LA28" s="31"/>
      <c r="LB28" s="31"/>
      <c r="LC28" s="31"/>
      <c r="LD28" s="31"/>
      <c r="LE28" s="31"/>
      <c r="LF28" s="31"/>
      <c r="LG28" s="31"/>
      <c r="LH28" s="31"/>
      <c r="LI28" s="31"/>
      <c r="LJ28" s="31"/>
      <c r="LK28" s="31"/>
      <c r="LL28" s="31"/>
      <c r="LM28" s="31"/>
      <c r="LN28" s="31"/>
      <c r="LO28" s="31"/>
      <c r="LP28" s="31"/>
      <c r="LQ28" s="31"/>
      <c r="LR28" s="31"/>
      <c r="LS28" s="31"/>
      <c r="LT28" s="31"/>
      <c r="LU28" s="31"/>
      <c r="LV28" s="31"/>
      <c r="LW28" s="31"/>
      <c r="LX28" s="30"/>
      <c r="LY28" s="31"/>
      <c r="LZ28" s="31"/>
      <c r="MA28" s="31"/>
      <c r="MB28" s="31"/>
      <c r="MC28" s="31"/>
      <c r="MD28" s="31"/>
      <c r="ME28" s="31"/>
      <c r="MF28" s="31"/>
      <c r="MG28" s="31"/>
      <c r="MH28" s="31"/>
      <c r="MI28" s="31"/>
      <c r="MJ28" s="31"/>
      <c r="MK28" s="31"/>
      <c r="ML28" s="31"/>
      <c r="MM28" s="31"/>
      <c r="MN28" s="31"/>
      <c r="MO28" s="31"/>
      <c r="MP28" s="31"/>
      <c r="MQ28" s="31"/>
      <c r="MR28" s="31"/>
      <c r="MS28" s="31"/>
      <c r="MT28" s="31"/>
      <c r="MU28" s="31"/>
      <c r="MV28" s="31"/>
      <c r="MW28" s="31"/>
      <c r="MX28" s="31"/>
      <c r="MY28" s="31"/>
      <c r="MZ28" s="31"/>
      <c r="NA28" s="31"/>
      <c r="NB28" s="33"/>
      <c r="NC28" s="40" cm="1">
        <f t="array" aca="1" ref="NC28" ca="1">nbColor(B28:NB28)</f>
        <v>0</v>
      </c>
    </row>
    <row r="29" spans="1:387" s="34" customFormat="1" ht="16.5" thickBot="1" x14ac:dyDescent="0.3">
      <c r="A29" s="47" t="s">
        <v>43</v>
      </c>
      <c r="B29" s="36">
        <f ca="1">nbColor(B3:B28)</f>
        <v>0</v>
      </c>
      <c r="C29" s="34">
        <f t="shared" ref="C29:AF29" ca="1" si="0">nbColor(C3:C28)</f>
        <v>0</v>
      </c>
      <c r="D29" s="34">
        <f t="shared" ca="1" si="0"/>
        <v>0</v>
      </c>
      <c r="E29" s="34">
        <f ca="1">nbColor(E3:E28)</f>
        <v>0</v>
      </c>
      <c r="F29" s="34">
        <f ca="1">nbColor(F3:F28)</f>
        <v>0</v>
      </c>
      <c r="G29" s="34">
        <f ca="1">nbColor(G3:G28)</f>
        <v>0</v>
      </c>
      <c r="H29" s="34" cm="1">
        <f t="array" aca="1" ref="H29" ca="1">nbColor(H3:H28)</f>
        <v>0</v>
      </c>
      <c r="I29" s="34">
        <f t="shared" ref="I29:P29" ca="1" si="1">nbColor(I3:I28)</f>
        <v>0</v>
      </c>
      <c r="J29" s="34">
        <f t="shared" ca="1" si="1"/>
        <v>0</v>
      </c>
      <c r="K29" s="34">
        <f t="shared" ca="1" si="1"/>
        <v>0</v>
      </c>
      <c r="L29" s="34">
        <f t="shared" ca="1" si="1"/>
        <v>0</v>
      </c>
      <c r="M29" s="34">
        <f t="shared" ca="1" si="1"/>
        <v>0</v>
      </c>
      <c r="N29" s="34">
        <f t="shared" ca="1" si="1"/>
        <v>0</v>
      </c>
      <c r="O29" s="34">
        <f t="shared" ca="1" si="1"/>
        <v>0</v>
      </c>
      <c r="P29" s="34">
        <f t="shared" ca="1" si="1"/>
        <v>0</v>
      </c>
      <c r="Q29" s="34">
        <f t="shared" ca="1" si="0"/>
        <v>0</v>
      </c>
      <c r="R29" s="34">
        <f t="shared" ca="1" si="0"/>
        <v>0</v>
      </c>
      <c r="S29" s="34">
        <f t="shared" ca="1" si="0"/>
        <v>0</v>
      </c>
      <c r="T29" s="34">
        <f t="shared" ca="1" si="0"/>
        <v>0</v>
      </c>
      <c r="U29" s="34">
        <f t="shared" ca="1" si="0"/>
        <v>0</v>
      </c>
      <c r="V29" s="34">
        <f t="shared" ca="1" si="0"/>
        <v>0</v>
      </c>
      <c r="W29" s="34">
        <f t="shared" ca="1" si="0"/>
        <v>0</v>
      </c>
      <c r="X29" s="34">
        <f t="shared" ca="1" si="0"/>
        <v>0</v>
      </c>
      <c r="Y29" s="34">
        <f t="shared" ca="1" si="0"/>
        <v>0</v>
      </c>
      <c r="Z29" s="34">
        <f t="shared" ca="1" si="0"/>
        <v>0</v>
      </c>
      <c r="AA29" s="34">
        <f t="shared" ca="1" si="0"/>
        <v>0</v>
      </c>
      <c r="AB29" s="34">
        <f t="shared" ca="1" si="0"/>
        <v>0</v>
      </c>
      <c r="AC29" s="34">
        <f t="shared" ca="1" si="0"/>
        <v>0</v>
      </c>
      <c r="AD29" s="34">
        <f t="shared" ca="1" si="0"/>
        <v>0</v>
      </c>
      <c r="AE29" s="34">
        <f t="shared" ca="1" si="0"/>
        <v>0</v>
      </c>
      <c r="AF29" s="34">
        <f t="shared" ca="1" si="0"/>
        <v>0</v>
      </c>
      <c r="AG29" s="34">
        <f t="shared" ref="AG29" ca="1" si="2">nbColor(AG3:AG28)</f>
        <v>0</v>
      </c>
      <c r="AH29" s="34">
        <f t="shared" ref="AH29" ca="1" si="3">nbColor(AH3:AH28)</f>
        <v>0</v>
      </c>
      <c r="AI29" s="34">
        <f t="shared" ref="AI29" ca="1" si="4">nbColor(AI3:AI28)</f>
        <v>0</v>
      </c>
      <c r="AJ29" s="34">
        <f t="shared" ref="AJ29" ca="1" si="5">nbColor(AJ3:AJ28)</f>
        <v>0</v>
      </c>
      <c r="AK29" s="34">
        <f t="shared" ref="AK29" ca="1" si="6">nbColor(AK3:AK28)</f>
        <v>0</v>
      </c>
      <c r="AL29" s="34">
        <f t="shared" ref="AL29" ca="1" si="7">nbColor(AL3:AL28)</f>
        <v>0</v>
      </c>
      <c r="AM29" s="34">
        <f t="shared" ref="AM29" ca="1" si="8">nbColor(AM3:AM28)</f>
        <v>0</v>
      </c>
      <c r="AN29" s="34">
        <f t="shared" ref="AN29" ca="1" si="9">nbColor(AN3:AN28)</f>
        <v>0</v>
      </c>
      <c r="AO29" s="34">
        <f t="shared" ref="AO29" ca="1" si="10">nbColor(AO3:AO28)</f>
        <v>0</v>
      </c>
      <c r="AP29" s="34">
        <f t="shared" ref="AP29" ca="1" si="11">nbColor(AP3:AP28)</f>
        <v>0</v>
      </c>
      <c r="AQ29" s="34">
        <f t="shared" ref="AQ29" ca="1" si="12">nbColor(AQ3:AQ28)</f>
        <v>0</v>
      </c>
      <c r="AR29" s="34">
        <f t="shared" ref="AR29" ca="1" si="13">nbColor(AR3:AR28)</f>
        <v>0</v>
      </c>
      <c r="AS29" s="34">
        <f t="shared" ref="AS29" ca="1" si="14">nbColor(AS3:AS28)</f>
        <v>0</v>
      </c>
      <c r="AT29" s="34">
        <f t="shared" ref="AT29" ca="1" si="15">nbColor(AT3:AT28)</f>
        <v>0</v>
      </c>
      <c r="AU29" s="34">
        <f t="shared" ref="AU29" ca="1" si="16">nbColor(AU3:AU28)</f>
        <v>0</v>
      </c>
      <c r="AV29" s="34">
        <f t="shared" ref="AV29" ca="1" si="17">nbColor(AV3:AV28)</f>
        <v>0</v>
      </c>
      <c r="AW29" s="34">
        <f t="shared" ref="AW29" ca="1" si="18">nbColor(AW3:AW28)</f>
        <v>0</v>
      </c>
      <c r="AX29" s="34">
        <f t="shared" ref="AX29" ca="1" si="19">nbColor(AX3:AX28)</f>
        <v>0</v>
      </c>
      <c r="AY29" s="34">
        <f t="shared" ref="AY29" ca="1" si="20">nbColor(AY3:AY28)</f>
        <v>0</v>
      </c>
      <c r="AZ29" s="34">
        <f t="shared" ref="AZ29" ca="1" si="21">nbColor(AZ3:AZ28)</f>
        <v>0</v>
      </c>
      <c r="BA29" s="34">
        <f t="shared" ref="BA29" ca="1" si="22">nbColor(BA3:BA28)</f>
        <v>0</v>
      </c>
      <c r="BB29" s="34">
        <f t="shared" ref="BB29" ca="1" si="23">nbColor(BB3:BB28)</f>
        <v>0</v>
      </c>
      <c r="BC29" s="34">
        <f t="shared" ref="BC29" ca="1" si="24">nbColor(BC3:BC28)</f>
        <v>0</v>
      </c>
      <c r="BD29" s="34">
        <f t="shared" ref="BD29" ca="1" si="25">nbColor(BD3:BD28)</f>
        <v>0</v>
      </c>
      <c r="BE29" s="34">
        <f t="shared" ref="BE29" ca="1" si="26">nbColor(BE3:BE28)</f>
        <v>0</v>
      </c>
      <c r="BF29" s="34">
        <f t="shared" ref="BF29" ca="1" si="27">nbColor(BF3:BF28)</f>
        <v>0</v>
      </c>
      <c r="BG29" s="34">
        <f t="shared" ref="BG29" ca="1" si="28">nbColor(BG3:BG28)</f>
        <v>0</v>
      </c>
      <c r="BH29" s="34">
        <f t="shared" ref="BH29" ca="1" si="29">nbColor(BH3:BH28)</f>
        <v>0</v>
      </c>
      <c r="BI29" s="34">
        <f t="shared" ref="BI29" ca="1" si="30">nbColor(BI3:BI28)</f>
        <v>0</v>
      </c>
      <c r="BJ29" s="34">
        <f t="shared" ref="BJ29" ca="1" si="31">nbColor(BJ3:BJ28)</f>
        <v>0</v>
      </c>
      <c r="BK29" s="34">
        <f t="shared" ref="BK29" ca="1" si="32">nbColor(BK3:BK28)</f>
        <v>0</v>
      </c>
      <c r="BL29" s="34">
        <f t="shared" ref="BL29" ca="1" si="33">nbColor(BL3:BL28)</f>
        <v>0</v>
      </c>
      <c r="BM29" s="34">
        <f t="shared" ref="BM29" ca="1" si="34">nbColor(BM3:BM28)</f>
        <v>0</v>
      </c>
      <c r="BN29" s="34">
        <f t="shared" ref="BN29" ca="1" si="35">nbColor(BN3:BN28)</f>
        <v>0</v>
      </c>
      <c r="BO29" s="34">
        <f t="shared" ref="BO29" ca="1" si="36">nbColor(BO3:BO28)</f>
        <v>0</v>
      </c>
      <c r="BP29" s="34">
        <f t="shared" ref="BP29" ca="1" si="37">nbColor(BP3:BP28)</f>
        <v>0</v>
      </c>
      <c r="BQ29" s="34">
        <f t="shared" ref="BQ29" ca="1" si="38">nbColor(BQ3:BQ28)</f>
        <v>0</v>
      </c>
      <c r="BR29" s="34">
        <f t="shared" ref="BR29" ca="1" si="39">nbColor(BR3:BR28)</f>
        <v>0</v>
      </c>
      <c r="BS29" s="34">
        <f t="shared" ref="BS29" ca="1" si="40">nbColor(BS3:BS28)</f>
        <v>0</v>
      </c>
      <c r="BT29" s="34">
        <f t="shared" ref="BT29" ca="1" si="41">nbColor(BT3:BT28)</f>
        <v>0</v>
      </c>
      <c r="BU29" s="34">
        <f t="shared" ref="BU29" ca="1" si="42">nbColor(BU3:BU28)</f>
        <v>0</v>
      </c>
      <c r="BV29" s="34">
        <f t="shared" ref="BV29" ca="1" si="43">nbColor(BV3:BV28)</f>
        <v>0</v>
      </c>
      <c r="BW29" s="34">
        <f t="shared" ref="BW29" ca="1" si="44">nbColor(BW3:BW28)</f>
        <v>0</v>
      </c>
      <c r="BX29" s="34">
        <f t="shared" ref="BX29" ca="1" si="45">nbColor(BX3:BX28)</f>
        <v>0</v>
      </c>
      <c r="BY29" s="34">
        <f t="shared" ref="BY29" ca="1" si="46">nbColor(BY3:BY28)</f>
        <v>0</v>
      </c>
      <c r="BZ29" s="34">
        <f t="shared" ref="BZ29" ca="1" si="47">nbColor(BZ3:BZ28)</f>
        <v>0</v>
      </c>
      <c r="CA29" s="34">
        <f t="shared" ref="CA29" ca="1" si="48">nbColor(CA3:CA28)</f>
        <v>0</v>
      </c>
      <c r="CB29" s="34">
        <f t="shared" ref="CB29" ca="1" si="49">nbColor(CB3:CB28)</f>
        <v>0</v>
      </c>
      <c r="CC29" s="34">
        <f t="shared" ref="CC29" ca="1" si="50">nbColor(CC3:CC28)</f>
        <v>0</v>
      </c>
      <c r="CD29" s="34">
        <f t="shared" ref="CD29" ca="1" si="51">nbColor(CD3:CD28)</f>
        <v>0</v>
      </c>
      <c r="CE29" s="34">
        <f t="shared" ref="CE29" ca="1" si="52">nbColor(CE3:CE28)</f>
        <v>0</v>
      </c>
      <c r="CF29" s="34">
        <f t="shared" ref="CF29" ca="1" si="53">nbColor(CF3:CF28)</f>
        <v>0</v>
      </c>
      <c r="CG29" s="34">
        <f t="shared" ref="CG29" ca="1" si="54">nbColor(CG3:CG28)</f>
        <v>0</v>
      </c>
      <c r="CH29" s="34">
        <f t="shared" ref="CH29" ca="1" si="55">nbColor(CH3:CH28)</f>
        <v>0</v>
      </c>
      <c r="CI29" s="34">
        <f t="shared" ref="CI29" ca="1" si="56">nbColor(CI3:CI28)</f>
        <v>0</v>
      </c>
      <c r="CJ29" s="34">
        <f t="shared" ref="CJ29" ca="1" si="57">nbColor(CJ3:CJ28)</f>
        <v>0</v>
      </c>
      <c r="CK29" s="34">
        <f t="shared" ref="CK29" ca="1" si="58">nbColor(CK3:CK28)</f>
        <v>0</v>
      </c>
      <c r="CL29" s="34">
        <f t="shared" ref="CL29" ca="1" si="59">nbColor(CL3:CL28)</f>
        <v>0</v>
      </c>
      <c r="CM29" s="34">
        <f t="shared" ref="CM29" ca="1" si="60">nbColor(CM3:CM28)</f>
        <v>0</v>
      </c>
      <c r="CN29" s="34">
        <f t="shared" ref="CN29" ca="1" si="61">nbColor(CN3:CN28)</f>
        <v>0</v>
      </c>
      <c r="CO29" s="34">
        <f t="shared" ref="CO29" ca="1" si="62">nbColor(CO3:CO28)</f>
        <v>0</v>
      </c>
      <c r="CP29" s="34">
        <f t="shared" ref="CP29" ca="1" si="63">nbColor(CP3:CP28)</f>
        <v>0</v>
      </c>
      <c r="CQ29" s="34">
        <f t="shared" ref="CQ29" ca="1" si="64">nbColor(CQ3:CQ28)</f>
        <v>0</v>
      </c>
      <c r="CR29" s="34">
        <f t="shared" ref="CR29" ca="1" si="65">nbColor(CR3:CR28)</f>
        <v>0</v>
      </c>
      <c r="CS29" s="34">
        <f t="shared" ref="CS29" ca="1" si="66">nbColor(CS3:CS28)</f>
        <v>0</v>
      </c>
      <c r="CT29" s="34">
        <f t="shared" ref="CT29" ca="1" si="67">nbColor(CT3:CT28)</f>
        <v>0</v>
      </c>
      <c r="CU29" s="34">
        <f t="shared" ref="CU29" ca="1" si="68">nbColor(CU3:CU28)</f>
        <v>0</v>
      </c>
      <c r="CV29" s="34">
        <f t="shared" ref="CV29" ca="1" si="69">nbColor(CV3:CV28)</f>
        <v>0</v>
      </c>
      <c r="CW29" s="34">
        <f t="shared" ref="CW29" ca="1" si="70">nbColor(CW3:CW28)</f>
        <v>0</v>
      </c>
      <c r="CX29" s="34">
        <f t="shared" ref="CX29" ca="1" si="71">nbColor(CX3:CX28)</f>
        <v>0</v>
      </c>
      <c r="CY29" s="34">
        <f t="shared" ref="CY29" ca="1" si="72">nbColor(CY3:CY28)</f>
        <v>0</v>
      </c>
      <c r="CZ29" s="34">
        <f t="shared" ref="CZ29" ca="1" si="73">nbColor(CZ3:CZ28)</f>
        <v>0</v>
      </c>
      <c r="DA29" s="34">
        <f t="shared" ref="DA29" ca="1" si="74">nbColor(DA3:DA28)</f>
        <v>0</v>
      </c>
      <c r="DB29" s="34">
        <f t="shared" ref="DB29" ca="1" si="75">nbColor(DB3:DB28)</f>
        <v>0</v>
      </c>
      <c r="DC29" s="34">
        <f t="shared" ref="DC29" ca="1" si="76">nbColor(DC3:DC28)</f>
        <v>0</v>
      </c>
      <c r="DD29" s="34">
        <f t="shared" ref="DD29" ca="1" si="77">nbColor(DD3:DD28)</f>
        <v>0</v>
      </c>
      <c r="DE29" s="34">
        <f t="shared" ref="DE29" ca="1" si="78">nbColor(DE3:DE28)</f>
        <v>0</v>
      </c>
      <c r="DF29" s="34">
        <f t="shared" ref="DF29" ca="1" si="79">nbColor(DF3:DF28)</f>
        <v>0</v>
      </c>
      <c r="DG29" s="34">
        <f t="shared" ref="DG29" ca="1" si="80">nbColor(DG3:DG28)</f>
        <v>0</v>
      </c>
      <c r="DH29" s="34">
        <f t="shared" ref="DH29" ca="1" si="81">nbColor(DH3:DH28)</f>
        <v>0</v>
      </c>
      <c r="DI29" s="34">
        <f t="shared" ref="DI29" ca="1" si="82">nbColor(DI3:DI28)</f>
        <v>0</v>
      </c>
      <c r="DJ29" s="34">
        <f t="shared" ref="DJ29" ca="1" si="83">nbColor(DJ3:DJ28)</f>
        <v>0</v>
      </c>
      <c r="DK29" s="34">
        <f t="shared" ref="DK29" ca="1" si="84">nbColor(DK3:DK28)</f>
        <v>0</v>
      </c>
      <c r="DL29" s="34">
        <f t="shared" ref="DL29" ca="1" si="85">nbColor(DL3:DL28)</f>
        <v>0</v>
      </c>
      <c r="DM29" s="34">
        <f t="shared" ref="DM29" ca="1" si="86">nbColor(DM3:DM28)</f>
        <v>0</v>
      </c>
      <c r="DN29" s="34">
        <f t="shared" ref="DN29" ca="1" si="87">nbColor(DN3:DN28)</f>
        <v>0</v>
      </c>
      <c r="DO29" s="34">
        <f t="shared" ref="DO29" ca="1" si="88">nbColor(DO3:DO28)</f>
        <v>0</v>
      </c>
      <c r="DP29" s="34">
        <f t="shared" ref="DP29" ca="1" si="89">nbColor(DP3:DP28)</f>
        <v>0</v>
      </c>
      <c r="DQ29" s="34">
        <f t="shared" ref="DQ29" ca="1" si="90">nbColor(DQ3:DQ28)</f>
        <v>0</v>
      </c>
      <c r="DR29" s="34">
        <f t="shared" ref="DR29" ca="1" si="91">nbColor(DR3:DR28)</f>
        <v>0</v>
      </c>
      <c r="DS29" s="34">
        <f t="shared" ref="DS29" ca="1" si="92">nbColor(DS3:DS28)</f>
        <v>0</v>
      </c>
      <c r="DT29" s="34">
        <f t="shared" ref="DT29" ca="1" si="93">nbColor(DT3:DT28)</f>
        <v>0</v>
      </c>
      <c r="DU29" s="34">
        <f t="shared" ref="DU29" ca="1" si="94">nbColor(DU3:DU28)</f>
        <v>0</v>
      </c>
      <c r="DV29" s="34">
        <f t="shared" ref="DV29" ca="1" si="95">nbColor(DV3:DV28)</f>
        <v>0</v>
      </c>
      <c r="DW29" s="34">
        <f t="shared" ref="DW29" ca="1" si="96">nbColor(DW3:DW28)</f>
        <v>0</v>
      </c>
      <c r="DX29" s="34">
        <f t="shared" ref="DX29" ca="1" si="97">nbColor(DX3:DX28)</f>
        <v>0</v>
      </c>
      <c r="DY29" s="34">
        <f t="shared" ref="DY29" ca="1" si="98">nbColor(DY3:DY28)</f>
        <v>0</v>
      </c>
      <c r="DZ29" s="34">
        <f t="shared" ref="DZ29" ca="1" si="99">nbColor(DZ3:DZ28)</f>
        <v>0</v>
      </c>
      <c r="EA29" s="34">
        <f t="shared" ref="EA29" ca="1" si="100">nbColor(EA3:EA28)</f>
        <v>0</v>
      </c>
      <c r="EB29" s="34">
        <f t="shared" ref="EB29" ca="1" si="101">nbColor(EB3:EB28)</f>
        <v>0</v>
      </c>
      <c r="EC29" s="34">
        <f t="shared" ref="EC29" ca="1" si="102">nbColor(EC3:EC28)</f>
        <v>0</v>
      </c>
      <c r="ED29" s="34">
        <f t="shared" ref="ED29" ca="1" si="103">nbColor(ED3:ED28)</f>
        <v>0</v>
      </c>
      <c r="EE29" s="34">
        <f t="shared" ref="EE29" ca="1" si="104">nbColor(EE3:EE28)</f>
        <v>0</v>
      </c>
      <c r="EF29" s="34">
        <f t="shared" ref="EF29" ca="1" si="105">nbColor(EF3:EF28)</f>
        <v>0</v>
      </c>
      <c r="EG29" s="34">
        <f t="shared" ref="EG29" ca="1" si="106">nbColor(EG3:EG28)</f>
        <v>0</v>
      </c>
      <c r="EH29" s="34">
        <f t="shared" ref="EH29" ca="1" si="107">nbColor(EH3:EH28)</f>
        <v>0</v>
      </c>
      <c r="EI29" s="34">
        <f t="shared" ref="EI29" ca="1" si="108">nbColor(EI3:EI28)</f>
        <v>0</v>
      </c>
      <c r="EJ29" s="34">
        <f t="shared" ref="EJ29" ca="1" si="109">nbColor(EJ3:EJ28)</f>
        <v>0</v>
      </c>
      <c r="EK29" s="34">
        <f t="shared" ref="EK29" ca="1" si="110">nbColor(EK3:EK28)</f>
        <v>0</v>
      </c>
      <c r="EL29" s="34">
        <f t="shared" ref="EL29" ca="1" si="111">nbColor(EL3:EL28)</f>
        <v>0</v>
      </c>
      <c r="EM29" s="34">
        <f t="shared" ref="EM29" ca="1" si="112">nbColor(EM3:EM28)</f>
        <v>0</v>
      </c>
      <c r="EN29" s="34">
        <f t="shared" ref="EN29" ca="1" si="113">nbColor(EN3:EN28)</f>
        <v>0</v>
      </c>
      <c r="EO29" s="34">
        <f t="shared" ref="EO29" ca="1" si="114">nbColor(EO3:EO28)</f>
        <v>0</v>
      </c>
      <c r="EP29" s="34">
        <f t="shared" ref="EP29" ca="1" si="115">nbColor(EP3:EP28)</f>
        <v>0</v>
      </c>
      <c r="EQ29" s="34">
        <f t="shared" ref="EQ29" ca="1" si="116">nbColor(EQ3:EQ28)</f>
        <v>0</v>
      </c>
      <c r="ER29" s="34">
        <f t="shared" ref="ER29" ca="1" si="117">nbColor(ER3:ER28)</f>
        <v>0</v>
      </c>
      <c r="ES29" s="34">
        <f t="shared" ref="ES29" ca="1" si="118">nbColor(ES3:ES28)</f>
        <v>0</v>
      </c>
      <c r="ET29" s="34">
        <f t="shared" ref="ET29" ca="1" si="119">nbColor(ET3:ET28)</f>
        <v>0</v>
      </c>
      <c r="EU29" s="34">
        <f t="shared" ref="EU29" ca="1" si="120">nbColor(EU3:EU28)</f>
        <v>0</v>
      </c>
      <c r="EV29" s="34">
        <f t="shared" ref="EV29" ca="1" si="121">nbColor(EV3:EV28)</f>
        <v>0</v>
      </c>
      <c r="EW29" s="34">
        <f t="shared" ref="EW29" ca="1" si="122">nbColor(EW3:EW28)</f>
        <v>0</v>
      </c>
      <c r="EX29" s="34">
        <f t="shared" ref="EX29" ca="1" si="123">nbColor(EX3:EX28)</f>
        <v>0</v>
      </c>
      <c r="EY29" s="34">
        <f t="shared" ref="EY29" ca="1" si="124">nbColor(EY3:EY28)</f>
        <v>0</v>
      </c>
      <c r="EZ29" s="34">
        <f t="shared" ref="EZ29" ca="1" si="125">nbColor(EZ3:EZ28)</f>
        <v>0</v>
      </c>
      <c r="FA29" s="34">
        <f t="shared" ref="FA29" ca="1" si="126">nbColor(FA3:FA28)</f>
        <v>0</v>
      </c>
      <c r="FB29" s="34">
        <f t="shared" ref="FB29" ca="1" si="127">nbColor(FB3:FB28)</f>
        <v>0</v>
      </c>
      <c r="FC29" s="34">
        <f t="shared" ref="FC29" ca="1" si="128">nbColor(FC3:FC28)</f>
        <v>0</v>
      </c>
      <c r="FD29" s="34">
        <f t="shared" ref="FD29" ca="1" si="129">nbColor(FD3:FD28)</f>
        <v>0</v>
      </c>
      <c r="FE29" s="34">
        <f t="shared" ref="FE29" ca="1" si="130">nbColor(FE3:FE28)</f>
        <v>0</v>
      </c>
      <c r="FF29" s="34">
        <f t="shared" ref="FF29" ca="1" si="131">nbColor(FF3:FF28)</f>
        <v>0</v>
      </c>
      <c r="FG29" s="34">
        <f t="shared" ref="FG29" ca="1" si="132">nbColor(FG3:FG28)</f>
        <v>0</v>
      </c>
      <c r="FH29" s="34">
        <f t="shared" ref="FH29" ca="1" si="133">nbColor(FH3:FH28)</f>
        <v>0</v>
      </c>
      <c r="FI29" s="34">
        <f t="shared" ref="FI29" ca="1" si="134">nbColor(FI3:FI28)</f>
        <v>0</v>
      </c>
      <c r="FJ29" s="34">
        <f t="shared" ref="FJ29" ca="1" si="135">nbColor(FJ3:FJ28)</f>
        <v>0</v>
      </c>
      <c r="FK29" s="34">
        <f t="shared" ref="FK29" ca="1" si="136">nbColor(FK3:FK28)</f>
        <v>0</v>
      </c>
      <c r="FL29" s="34">
        <f t="shared" ref="FL29" ca="1" si="137">nbColor(FL3:FL28)</f>
        <v>0</v>
      </c>
      <c r="FM29" s="34">
        <f t="shared" ref="FM29" ca="1" si="138">nbColor(FM3:FM28)</f>
        <v>0</v>
      </c>
      <c r="FN29" s="34">
        <f t="shared" ref="FN29" ca="1" si="139">nbColor(FN3:FN28)</f>
        <v>0</v>
      </c>
      <c r="FO29" s="34">
        <f t="shared" ref="FO29" ca="1" si="140">nbColor(FO3:FO28)</f>
        <v>0</v>
      </c>
      <c r="FP29" s="34">
        <f t="shared" ref="FP29" ca="1" si="141">nbColor(FP3:FP28)</f>
        <v>0</v>
      </c>
      <c r="FQ29" s="34">
        <f t="shared" ref="FQ29" ca="1" si="142">nbColor(FQ3:FQ28)</f>
        <v>0</v>
      </c>
      <c r="FR29" s="34">
        <f t="shared" ref="FR29" ca="1" si="143">nbColor(FR3:FR28)</f>
        <v>0</v>
      </c>
      <c r="FS29" s="34">
        <f t="shared" ref="FS29" ca="1" si="144">nbColor(FS3:FS28)</f>
        <v>0</v>
      </c>
      <c r="FT29" s="34">
        <f t="shared" ref="FT29" ca="1" si="145">nbColor(FT3:FT28)</f>
        <v>0</v>
      </c>
      <c r="FU29" s="34">
        <f t="shared" ref="FU29" ca="1" si="146">nbColor(FU3:FU28)</f>
        <v>0</v>
      </c>
      <c r="FV29" s="34">
        <f t="shared" ref="FV29" ca="1" si="147">nbColor(FV3:FV28)</f>
        <v>0</v>
      </c>
      <c r="FW29" s="34">
        <f t="shared" ref="FW29" ca="1" si="148">nbColor(FW3:FW28)</f>
        <v>0</v>
      </c>
      <c r="FX29" s="34">
        <f t="shared" ref="FX29" ca="1" si="149">nbColor(FX3:FX28)</f>
        <v>0</v>
      </c>
      <c r="FY29" s="34">
        <f t="shared" ref="FY29" ca="1" si="150">nbColor(FY3:FY28)</f>
        <v>0</v>
      </c>
      <c r="FZ29" s="34">
        <f t="shared" ref="FZ29" ca="1" si="151">nbColor(FZ3:FZ28)</f>
        <v>0</v>
      </c>
      <c r="GA29" s="34">
        <f t="shared" ref="GA29" ca="1" si="152">nbColor(GA3:GA28)</f>
        <v>0</v>
      </c>
      <c r="GB29" s="34">
        <f t="shared" ref="GB29" ca="1" si="153">nbColor(GB3:GB28)</f>
        <v>0</v>
      </c>
      <c r="GC29" s="34">
        <f t="shared" ref="GC29" ca="1" si="154">nbColor(GC3:GC28)</f>
        <v>0</v>
      </c>
      <c r="GD29" s="34">
        <f t="shared" ref="GD29" ca="1" si="155">nbColor(GD3:GD28)</f>
        <v>0</v>
      </c>
      <c r="GE29" s="34">
        <f t="shared" ref="GE29" ca="1" si="156">nbColor(GE3:GE28)</f>
        <v>0</v>
      </c>
      <c r="GF29" s="34">
        <f t="shared" ref="GF29" ca="1" si="157">nbColor(GF3:GF28)</f>
        <v>0</v>
      </c>
      <c r="GG29" s="34">
        <f t="shared" ref="GG29" ca="1" si="158">nbColor(GG3:GG28)</f>
        <v>0</v>
      </c>
      <c r="GH29" s="34">
        <f t="shared" ref="GH29" ca="1" si="159">nbColor(GH3:GH28)</f>
        <v>0</v>
      </c>
      <c r="GI29" s="34">
        <f t="shared" ref="GI29" ca="1" si="160">nbColor(GI3:GI28)</f>
        <v>0</v>
      </c>
      <c r="GJ29" s="34">
        <f t="shared" ref="GJ29" ca="1" si="161">nbColor(GJ3:GJ28)</f>
        <v>0</v>
      </c>
      <c r="GK29" s="34">
        <f t="shared" ref="GK29" ca="1" si="162">nbColor(GK3:GK28)</f>
        <v>0</v>
      </c>
      <c r="GL29" s="34">
        <f t="shared" ref="GL29" ca="1" si="163">nbColor(GL3:GL28)</f>
        <v>0</v>
      </c>
      <c r="GM29" s="34">
        <f t="shared" ref="GM29" ca="1" si="164">nbColor(GM3:GM28)</f>
        <v>0</v>
      </c>
      <c r="GN29" s="34">
        <f t="shared" ref="GN29" ca="1" si="165">nbColor(GN3:GN28)</f>
        <v>0</v>
      </c>
      <c r="GO29" s="34">
        <f t="shared" ref="GO29" ca="1" si="166">nbColor(GO3:GO28)</f>
        <v>0</v>
      </c>
      <c r="GP29" s="34">
        <f t="shared" ref="GP29" ca="1" si="167">nbColor(GP3:GP28)</f>
        <v>0</v>
      </c>
      <c r="GQ29" s="34">
        <f t="shared" ref="GQ29" ca="1" si="168">nbColor(GQ3:GQ28)</f>
        <v>0</v>
      </c>
      <c r="GR29" s="34">
        <f t="shared" ref="GR29" ca="1" si="169">nbColor(GR3:GR28)</f>
        <v>0</v>
      </c>
      <c r="GS29" s="34">
        <f t="shared" ref="GS29" ca="1" si="170">nbColor(GS3:GS28)</f>
        <v>0</v>
      </c>
      <c r="GT29" s="34">
        <f t="shared" ref="GT29" ca="1" si="171">nbColor(GT3:GT28)</f>
        <v>0</v>
      </c>
      <c r="GU29" s="34">
        <f t="shared" ref="GU29" ca="1" si="172">nbColor(GU3:GU28)</f>
        <v>0</v>
      </c>
      <c r="GV29" s="34">
        <f t="shared" ref="GV29" ca="1" si="173">nbColor(GV3:GV28)</f>
        <v>0</v>
      </c>
      <c r="GW29" s="34">
        <f t="shared" ref="GW29" ca="1" si="174">nbColor(GW3:GW28)</f>
        <v>0</v>
      </c>
      <c r="GX29" s="34">
        <f t="shared" ref="GX29" ca="1" si="175">nbColor(GX3:GX28)</f>
        <v>0</v>
      </c>
      <c r="GY29" s="34">
        <f t="shared" ref="GY29" ca="1" si="176">nbColor(GY3:GY28)</f>
        <v>0</v>
      </c>
      <c r="GZ29" s="34">
        <f t="shared" ref="GZ29" ca="1" si="177">nbColor(GZ3:GZ28)</f>
        <v>0</v>
      </c>
      <c r="HA29" s="34">
        <f t="shared" ref="HA29" ca="1" si="178">nbColor(HA3:HA28)</f>
        <v>0</v>
      </c>
      <c r="HB29" s="34">
        <f t="shared" ref="HB29" ca="1" si="179">nbColor(HB3:HB28)</f>
        <v>0</v>
      </c>
      <c r="HC29" s="34">
        <f t="shared" ref="HC29" ca="1" si="180">nbColor(HC3:HC28)</f>
        <v>0</v>
      </c>
      <c r="HD29" s="34">
        <f t="shared" ref="HD29" ca="1" si="181">nbColor(HD3:HD28)</f>
        <v>0</v>
      </c>
      <c r="HE29" s="34">
        <f t="shared" ref="HE29" ca="1" si="182">nbColor(HE3:HE28)</f>
        <v>0</v>
      </c>
      <c r="HF29" s="34">
        <f t="shared" ref="HF29" ca="1" si="183">nbColor(HF3:HF28)</f>
        <v>0</v>
      </c>
      <c r="HG29" s="34">
        <f t="shared" ref="HG29" ca="1" si="184">nbColor(HG3:HG28)</f>
        <v>0</v>
      </c>
      <c r="HH29" s="34">
        <f t="shared" ref="HH29" ca="1" si="185">nbColor(HH3:HH28)</f>
        <v>0</v>
      </c>
      <c r="HI29" s="34">
        <f t="shared" ref="HI29" ca="1" si="186">nbColor(HI3:HI28)</f>
        <v>0</v>
      </c>
      <c r="HJ29" s="34">
        <f t="shared" ref="HJ29" ca="1" si="187">nbColor(HJ3:HJ28)</f>
        <v>0</v>
      </c>
      <c r="HK29" s="34">
        <f t="shared" ref="HK29" ca="1" si="188">nbColor(HK3:HK28)</f>
        <v>0</v>
      </c>
      <c r="HL29" s="34">
        <f t="shared" ref="HL29" ca="1" si="189">nbColor(HL3:HL28)</f>
        <v>0</v>
      </c>
      <c r="HM29" s="34">
        <f t="shared" ref="HM29" ca="1" si="190">nbColor(HM3:HM28)</f>
        <v>0</v>
      </c>
      <c r="HN29" s="34">
        <f t="shared" ref="HN29" ca="1" si="191">nbColor(HN3:HN28)</f>
        <v>0</v>
      </c>
      <c r="HO29" s="34">
        <f t="shared" ref="HO29" ca="1" si="192">nbColor(HO3:HO28)</f>
        <v>0</v>
      </c>
      <c r="HP29" s="34">
        <f t="shared" ref="HP29" ca="1" si="193">nbColor(HP3:HP28)</f>
        <v>0</v>
      </c>
      <c r="HQ29" s="34">
        <f t="shared" ref="HQ29" ca="1" si="194">nbColor(HQ3:HQ28)</f>
        <v>0</v>
      </c>
      <c r="HR29" s="34">
        <f t="shared" ref="HR29" ca="1" si="195">nbColor(HR3:HR28)</f>
        <v>0</v>
      </c>
      <c r="HS29" s="34">
        <f t="shared" ref="HS29" ca="1" si="196">nbColor(HS3:HS28)</f>
        <v>0</v>
      </c>
      <c r="HT29" s="34">
        <f t="shared" ref="HT29" ca="1" si="197">nbColor(HT3:HT28)</f>
        <v>0</v>
      </c>
      <c r="HU29" s="34">
        <f t="shared" ref="HU29" ca="1" si="198">nbColor(HU3:HU28)</f>
        <v>0</v>
      </c>
      <c r="HV29" s="34">
        <f t="shared" ref="HV29" ca="1" si="199">nbColor(HV3:HV28)</f>
        <v>0</v>
      </c>
      <c r="HW29" s="34">
        <f t="shared" ref="HW29" ca="1" si="200">nbColor(HW3:HW28)</f>
        <v>0</v>
      </c>
      <c r="HX29" s="34">
        <f t="shared" ref="HX29" ca="1" si="201">nbColor(HX3:HX28)</f>
        <v>0</v>
      </c>
      <c r="HY29" s="34">
        <f t="shared" ref="HY29" ca="1" si="202">nbColor(HY3:HY28)</f>
        <v>0</v>
      </c>
      <c r="HZ29" s="34">
        <f t="shared" ref="HZ29" ca="1" si="203">nbColor(HZ3:HZ28)</f>
        <v>0</v>
      </c>
      <c r="IA29" s="34">
        <f t="shared" ref="IA29" ca="1" si="204">nbColor(IA3:IA28)</f>
        <v>0</v>
      </c>
      <c r="IB29" s="34">
        <f t="shared" ref="IB29" ca="1" si="205">nbColor(IB3:IB28)</f>
        <v>0</v>
      </c>
      <c r="IC29" s="34">
        <f t="shared" ref="IC29" ca="1" si="206">nbColor(IC3:IC28)</f>
        <v>0</v>
      </c>
      <c r="ID29" s="34">
        <f t="shared" ref="ID29" ca="1" si="207">nbColor(ID3:ID28)</f>
        <v>0</v>
      </c>
      <c r="IE29" s="34">
        <f t="shared" ref="IE29" ca="1" si="208">nbColor(IE3:IE28)</f>
        <v>0</v>
      </c>
      <c r="IF29" s="34">
        <f t="shared" ref="IF29" ca="1" si="209">nbColor(IF3:IF28)</f>
        <v>0</v>
      </c>
      <c r="IG29" s="34">
        <f t="shared" ref="IG29" ca="1" si="210">nbColor(IG3:IG28)</f>
        <v>0</v>
      </c>
      <c r="IH29" s="34">
        <f t="shared" ref="IH29" ca="1" si="211">nbColor(IH3:IH28)</f>
        <v>0</v>
      </c>
      <c r="II29" s="34">
        <f t="shared" ref="II29" ca="1" si="212">nbColor(II3:II28)</f>
        <v>0</v>
      </c>
      <c r="IJ29" s="34">
        <f t="shared" ref="IJ29" ca="1" si="213">nbColor(IJ3:IJ28)</f>
        <v>0</v>
      </c>
      <c r="IK29" s="34">
        <f t="shared" ref="IK29" ca="1" si="214">nbColor(IK3:IK28)</f>
        <v>0</v>
      </c>
      <c r="IL29" s="34">
        <f t="shared" ref="IL29" ca="1" si="215">nbColor(IL3:IL28)</f>
        <v>0</v>
      </c>
      <c r="IM29" s="34">
        <f t="shared" ref="IM29" ca="1" si="216">nbColor(IM3:IM28)</f>
        <v>0</v>
      </c>
      <c r="IN29" s="34">
        <f t="shared" ref="IN29" ca="1" si="217">nbColor(IN3:IN28)</f>
        <v>0</v>
      </c>
      <c r="IO29" s="34">
        <f t="shared" ref="IO29" ca="1" si="218">nbColor(IO3:IO28)</f>
        <v>0</v>
      </c>
      <c r="IP29" s="34">
        <f t="shared" ref="IP29" ca="1" si="219">nbColor(IP3:IP28)</f>
        <v>0</v>
      </c>
      <c r="IQ29" s="34">
        <f t="shared" ref="IQ29" ca="1" si="220">nbColor(IQ3:IQ28)</f>
        <v>0</v>
      </c>
      <c r="IR29" s="34">
        <f t="shared" ref="IR29" ca="1" si="221">nbColor(IR3:IR28)</f>
        <v>0</v>
      </c>
      <c r="IS29" s="34">
        <f t="shared" ref="IS29" ca="1" si="222">nbColor(IS3:IS28)</f>
        <v>0</v>
      </c>
      <c r="IT29" s="34">
        <f t="shared" ref="IT29" ca="1" si="223">nbColor(IT3:IT28)</f>
        <v>0</v>
      </c>
      <c r="IU29" s="34">
        <f t="shared" ref="IU29" ca="1" si="224">nbColor(IU3:IU28)</f>
        <v>0</v>
      </c>
      <c r="IV29" s="34">
        <f t="shared" ref="IV29" ca="1" si="225">nbColor(IV3:IV28)</f>
        <v>0</v>
      </c>
      <c r="IW29" s="34">
        <f t="shared" ref="IW29" ca="1" si="226">nbColor(IW3:IW28)</f>
        <v>0</v>
      </c>
      <c r="IX29" s="34">
        <f t="shared" ref="IX29" ca="1" si="227">nbColor(IX3:IX28)</f>
        <v>0</v>
      </c>
      <c r="IY29" s="34">
        <f t="shared" ref="IY29" ca="1" si="228">nbColor(IY3:IY28)</f>
        <v>0</v>
      </c>
      <c r="IZ29" s="34">
        <f t="shared" ref="IZ29" ca="1" si="229">nbColor(IZ3:IZ28)</f>
        <v>0</v>
      </c>
      <c r="JA29" s="34">
        <f t="shared" ref="JA29" ca="1" si="230">nbColor(JA3:JA28)</f>
        <v>0</v>
      </c>
      <c r="JB29" s="34">
        <f t="shared" ref="JB29" ca="1" si="231">nbColor(JB3:JB28)</f>
        <v>0</v>
      </c>
      <c r="JC29" s="34">
        <f t="shared" ref="JC29" ca="1" si="232">nbColor(JC3:JC28)</f>
        <v>0</v>
      </c>
      <c r="JD29" s="34">
        <f t="shared" ref="JD29" ca="1" si="233">nbColor(JD3:JD28)</f>
        <v>0</v>
      </c>
      <c r="JE29" s="34">
        <f t="shared" ref="JE29" ca="1" si="234">nbColor(JE3:JE28)</f>
        <v>0</v>
      </c>
      <c r="JF29" s="34">
        <f t="shared" ref="JF29" ca="1" si="235">nbColor(JF3:JF28)</f>
        <v>0</v>
      </c>
      <c r="JG29" s="34">
        <f t="shared" ref="JG29" ca="1" si="236">nbColor(JG3:JG28)</f>
        <v>0</v>
      </c>
      <c r="JH29" s="34">
        <f t="shared" ref="JH29" ca="1" si="237">nbColor(JH3:JH28)</f>
        <v>0</v>
      </c>
      <c r="JI29" s="34">
        <f t="shared" ref="JI29" ca="1" si="238">nbColor(JI3:JI28)</f>
        <v>0</v>
      </c>
      <c r="JJ29" s="34">
        <f t="shared" ref="JJ29" ca="1" si="239">nbColor(JJ3:JJ28)</f>
        <v>0</v>
      </c>
      <c r="JK29" s="34">
        <f t="shared" ref="JK29" ca="1" si="240">nbColor(JK3:JK28)</f>
        <v>0</v>
      </c>
      <c r="JL29" s="34">
        <f t="shared" ref="JL29" ca="1" si="241">nbColor(JL3:JL28)</f>
        <v>0</v>
      </c>
      <c r="JM29" s="34">
        <f t="shared" ref="JM29" ca="1" si="242">nbColor(JM3:JM28)</f>
        <v>0</v>
      </c>
      <c r="JN29" s="34">
        <f t="shared" ref="JN29" ca="1" si="243">nbColor(JN3:JN28)</f>
        <v>0</v>
      </c>
      <c r="JO29" s="34">
        <f t="shared" ref="JO29" ca="1" si="244">nbColor(JO3:JO28)</f>
        <v>0</v>
      </c>
      <c r="JP29" s="34">
        <f t="shared" ref="JP29" ca="1" si="245">nbColor(JP3:JP28)</f>
        <v>0</v>
      </c>
      <c r="JQ29" s="34">
        <f t="shared" ref="JQ29" ca="1" si="246">nbColor(JQ3:JQ28)</f>
        <v>0</v>
      </c>
      <c r="JR29" s="34">
        <f t="shared" ref="JR29" ca="1" si="247">nbColor(JR3:JR28)</f>
        <v>0</v>
      </c>
      <c r="JS29" s="34">
        <f t="shared" ref="JS29" ca="1" si="248">nbColor(JS3:JS28)</f>
        <v>0</v>
      </c>
      <c r="JT29" s="34">
        <f t="shared" ref="JT29" ca="1" si="249">nbColor(JT3:JT28)</f>
        <v>0</v>
      </c>
      <c r="JU29" s="34">
        <f t="shared" ref="JU29" ca="1" si="250">nbColor(JU3:JU28)</f>
        <v>0</v>
      </c>
      <c r="JV29" s="34">
        <f t="shared" ref="JV29" ca="1" si="251">nbColor(JV3:JV28)</f>
        <v>0</v>
      </c>
      <c r="JW29" s="34">
        <f t="shared" ref="JW29" ca="1" si="252">nbColor(JW3:JW28)</f>
        <v>0</v>
      </c>
      <c r="JX29" s="34">
        <f t="shared" ref="JX29" ca="1" si="253">nbColor(JX3:JX28)</f>
        <v>0</v>
      </c>
      <c r="JY29" s="34">
        <f t="shared" ref="JY29" ca="1" si="254">nbColor(JY3:JY28)</f>
        <v>0</v>
      </c>
      <c r="JZ29" s="34">
        <f t="shared" ref="JZ29" ca="1" si="255">nbColor(JZ3:JZ28)</f>
        <v>0</v>
      </c>
      <c r="KA29" s="34">
        <f t="shared" ref="KA29" ca="1" si="256">nbColor(KA3:KA28)</f>
        <v>0</v>
      </c>
      <c r="KB29" s="34">
        <f t="shared" ref="KB29" ca="1" si="257">nbColor(KB3:KB28)</f>
        <v>0</v>
      </c>
      <c r="KC29" s="34">
        <f t="shared" ref="KC29" ca="1" si="258">nbColor(KC3:KC28)</f>
        <v>0</v>
      </c>
      <c r="KD29" s="34">
        <f t="shared" ref="KD29" ca="1" si="259">nbColor(KD3:KD28)</f>
        <v>0</v>
      </c>
      <c r="KE29" s="34">
        <f t="shared" ref="KE29" ca="1" si="260">nbColor(KE3:KE28)</f>
        <v>0</v>
      </c>
      <c r="KF29" s="34">
        <f t="shared" ref="KF29" ca="1" si="261">nbColor(KF3:KF28)</f>
        <v>0</v>
      </c>
      <c r="KG29" s="34">
        <f t="shared" ref="KG29" ca="1" si="262">nbColor(KG3:KG28)</f>
        <v>0</v>
      </c>
      <c r="KH29" s="34">
        <f t="shared" ref="KH29" ca="1" si="263">nbColor(KH3:KH28)</f>
        <v>0</v>
      </c>
      <c r="KI29" s="34">
        <f t="shared" ref="KI29" ca="1" si="264">nbColor(KI3:KI28)</f>
        <v>0</v>
      </c>
      <c r="KJ29" s="34">
        <f t="shared" ref="KJ29" ca="1" si="265">nbColor(KJ3:KJ28)</f>
        <v>0</v>
      </c>
      <c r="KK29" s="34">
        <f t="shared" ref="KK29" ca="1" si="266">nbColor(KK3:KK28)</f>
        <v>0</v>
      </c>
      <c r="KL29" s="34">
        <f t="shared" ref="KL29" ca="1" si="267">nbColor(KL3:KL28)</f>
        <v>0</v>
      </c>
      <c r="KM29" s="34">
        <f t="shared" ref="KM29" ca="1" si="268">nbColor(KM3:KM28)</f>
        <v>0</v>
      </c>
      <c r="KN29" s="34">
        <f t="shared" ref="KN29" ca="1" si="269">nbColor(KN3:KN28)</f>
        <v>0</v>
      </c>
      <c r="KO29" s="34">
        <f t="shared" ref="KO29" ca="1" si="270">nbColor(KO3:KO28)</f>
        <v>0</v>
      </c>
      <c r="KP29" s="34">
        <f t="shared" ref="KP29" ca="1" si="271">nbColor(KP3:KP28)</f>
        <v>0</v>
      </c>
      <c r="KQ29" s="34">
        <f t="shared" ref="KQ29" ca="1" si="272">nbColor(KQ3:KQ28)</f>
        <v>0</v>
      </c>
      <c r="KR29" s="34">
        <f t="shared" ref="KR29" ca="1" si="273">nbColor(KR3:KR28)</f>
        <v>0</v>
      </c>
      <c r="KS29" s="34">
        <f t="shared" ref="KS29" ca="1" si="274">nbColor(KS3:KS28)</f>
        <v>0</v>
      </c>
      <c r="KT29" s="34">
        <f t="shared" ref="KT29" ca="1" si="275">nbColor(KT3:KT28)</f>
        <v>0</v>
      </c>
      <c r="KU29" s="34">
        <f t="shared" ref="KU29" ca="1" si="276">nbColor(KU3:KU28)</f>
        <v>0</v>
      </c>
      <c r="KV29" s="34">
        <f t="shared" ref="KV29" ca="1" si="277">nbColor(KV3:KV28)</f>
        <v>0</v>
      </c>
      <c r="KW29" s="34">
        <f t="shared" ref="KW29" ca="1" si="278">nbColor(KW3:KW28)</f>
        <v>0</v>
      </c>
      <c r="KX29" s="34">
        <f t="shared" ref="KX29" ca="1" si="279">nbColor(KX3:KX28)</f>
        <v>0</v>
      </c>
      <c r="KY29" s="34">
        <f t="shared" ref="KY29" ca="1" si="280">nbColor(KY3:KY28)</f>
        <v>0</v>
      </c>
      <c r="KZ29" s="34">
        <f t="shared" ref="KZ29" ca="1" si="281">nbColor(KZ3:KZ28)</f>
        <v>0</v>
      </c>
      <c r="LA29" s="34">
        <f t="shared" ref="LA29" ca="1" si="282">nbColor(LA3:LA28)</f>
        <v>0</v>
      </c>
      <c r="LB29" s="34">
        <f t="shared" ref="LB29" ca="1" si="283">nbColor(LB3:LB28)</f>
        <v>0</v>
      </c>
      <c r="LC29" s="34">
        <f t="shared" ref="LC29" ca="1" si="284">nbColor(LC3:LC28)</f>
        <v>0</v>
      </c>
      <c r="LD29" s="34">
        <f t="shared" ref="LD29" ca="1" si="285">nbColor(LD3:LD28)</f>
        <v>0</v>
      </c>
      <c r="LE29" s="34">
        <f t="shared" ref="LE29" ca="1" si="286">nbColor(LE3:LE28)</f>
        <v>0</v>
      </c>
      <c r="LF29" s="34">
        <f t="shared" ref="LF29" ca="1" si="287">nbColor(LF3:LF28)</f>
        <v>0</v>
      </c>
      <c r="LG29" s="34">
        <f t="shared" ref="LG29" ca="1" si="288">nbColor(LG3:LG28)</f>
        <v>0</v>
      </c>
      <c r="LH29" s="34">
        <f t="shared" ref="LH29" ca="1" si="289">nbColor(LH3:LH28)</f>
        <v>0</v>
      </c>
      <c r="LI29" s="34">
        <f t="shared" ref="LI29" ca="1" si="290">nbColor(LI3:LI28)</f>
        <v>0</v>
      </c>
      <c r="LJ29" s="34">
        <f t="shared" ref="LJ29" ca="1" si="291">nbColor(LJ3:LJ28)</f>
        <v>0</v>
      </c>
      <c r="LK29" s="34">
        <f t="shared" ref="LK29" ca="1" si="292">nbColor(LK3:LK28)</f>
        <v>0</v>
      </c>
      <c r="LL29" s="34">
        <f t="shared" ref="LL29" ca="1" si="293">nbColor(LL3:LL28)</f>
        <v>0</v>
      </c>
      <c r="LM29" s="34">
        <f t="shared" ref="LM29" ca="1" si="294">nbColor(LM3:LM28)</f>
        <v>0</v>
      </c>
      <c r="LN29" s="34">
        <f t="shared" ref="LN29" ca="1" si="295">nbColor(LN3:LN28)</f>
        <v>0</v>
      </c>
      <c r="LO29" s="34">
        <f t="shared" ref="LO29" ca="1" si="296">nbColor(LO3:LO28)</f>
        <v>0</v>
      </c>
      <c r="LP29" s="34">
        <f t="shared" ref="LP29" ca="1" si="297">nbColor(LP3:LP28)</f>
        <v>0</v>
      </c>
      <c r="LQ29" s="34">
        <f t="shared" ref="LQ29" ca="1" si="298">nbColor(LQ3:LQ28)</f>
        <v>0</v>
      </c>
      <c r="LR29" s="34">
        <f t="shared" ref="LR29" ca="1" si="299">nbColor(LR3:LR28)</f>
        <v>0</v>
      </c>
      <c r="LS29" s="34">
        <f t="shared" ref="LS29" ca="1" si="300">nbColor(LS3:LS28)</f>
        <v>0</v>
      </c>
      <c r="LT29" s="34">
        <f t="shared" ref="LT29" ca="1" si="301">nbColor(LT3:LT28)</f>
        <v>0</v>
      </c>
      <c r="LU29" s="34">
        <f t="shared" ref="LU29" ca="1" si="302">nbColor(LU3:LU28)</f>
        <v>0</v>
      </c>
      <c r="LV29" s="34">
        <f ca="1">nbColor(LV3:LV28)</f>
        <v>0</v>
      </c>
      <c r="LW29" s="34">
        <f ca="1">nbColor(LW3:LW28)</f>
        <v>0</v>
      </c>
      <c r="LX29" s="34">
        <f ca="1">nbColor(LX3:LX28)</f>
        <v>0</v>
      </c>
      <c r="LY29" s="34">
        <f t="shared" ref="LY29" ca="1" si="303">nbColor(LY3:LY28)</f>
        <v>0</v>
      </c>
      <c r="LZ29" s="34">
        <f t="shared" ref="LZ29" ca="1" si="304">nbColor(LZ3:LZ28)</f>
        <v>0</v>
      </c>
      <c r="MA29" s="34">
        <f t="shared" ref="MA29" ca="1" si="305">nbColor(MA3:MA28)</f>
        <v>0</v>
      </c>
      <c r="MB29" s="34">
        <f t="shared" ref="MB29" ca="1" si="306">nbColor(MB3:MB28)</f>
        <v>0</v>
      </c>
      <c r="MC29" s="34" cm="1">
        <f t="array" aca="1" ref="MC29" ca="1">nbColor(MC3:MC28)</f>
        <v>0</v>
      </c>
      <c r="MD29" s="34">
        <f t="shared" ref="MD29" ca="1" si="307">nbColor(MD3:MD28)</f>
        <v>0</v>
      </c>
      <c r="ME29" s="34">
        <f t="shared" ref="ME29" ca="1" si="308">nbColor(ME3:ME28)</f>
        <v>0</v>
      </c>
      <c r="MF29" s="34">
        <f t="shared" ref="MF29:MP29" ca="1" si="309">nbColor(MF3:MF28)</f>
        <v>0</v>
      </c>
      <c r="MG29" s="34">
        <f t="shared" ca="1" si="309"/>
        <v>0</v>
      </c>
      <c r="MH29" s="34">
        <f t="shared" ca="1" si="309"/>
        <v>0</v>
      </c>
      <c r="MI29" s="34">
        <f t="shared" ca="1" si="309"/>
        <v>0</v>
      </c>
      <c r="MJ29" s="34">
        <f t="shared" ca="1" si="309"/>
        <v>0</v>
      </c>
      <c r="MK29" s="34">
        <f t="shared" ca="1" si="309"/>
        <v>0</v>
      </c>
      <c r="ML29" s="34">
        <f t="shared" ca="1" si="309"/>
        <v>0</v>
      </c>
      <c r="MM29" s="34">
        <f t="shared" ca="1" si="309"/>
        <v>0</v>
      </c>
      <c r="MN29" s="34">
        <f t="shared" ca="1" si="309"/>
        <v>0</v>
      </c>
      <c r="MO29" s="34">
        <f t="shared" ca="1" si="309"/>
        <v>0</v>
      </c>
      <c r="MP29" s="34">
        <f t="shared" ca="1" si="309"/>
        <v>0</v>
      </c>
      <c r="MQ29" s="34">
        <f t="shared" ref="MQ29" ca="1" si="310">nbColor(MQ3:MQ28)</f>
        <v>0</v>
      </c>
      <c r="MR29" s="34">
        <f t="shared" ref="MR29" ca="1" si="311">nbColor(MR3:MR28)</f>
        <v>0</v>
      </c>
      <c r="MS29" s="34">
        <f t="shared" ref="MS29" ca="1" si="312">nbColor(MS3:MS28)</f>
        <v>0</v>
      </c>
      <c r="MT29" s="34">
        <f t="shared" ref="MT29" ca="1" si="313">nbColor(MT3:MT28)</f>
        <v>0</v>
      </c>
      <c r="MU29" s="34">
        <f t="shared" ref="MU29" ca="1" si="314">nbColor(MU3:MU28)</f>
        <v>0</v>
      </c>
      <c r="MV29" s="34">
        <f t="shared" ref="MV29" ca="1" si="315">nbColor(MV3:MV28)</f>
        <v>0</v>
      </c>
      <c r="MW29" s="34">
        <f t="shared" ref="MW29" ca="1" si="316">nbColor(MW3:MW28)</f>
        <v>0</v>
      </c>
      <c r="MX29" s="34">
        <f t="shared" ref="MX29" ca="1" si="317">nbColor(MX3:MX28)</f>
        <v>0</v>
      </c>
      <c r="MY29" s="34">
        <f t="shared" ref="MY29" ca="1" si="318">nbColor(MY3:MY28)</f>
        <v>0</v>
      </c>
      <c r="MZ29" s="34">
        <f t="shared" ref="MZ29" ca="1" si="319">nbColor(MZ3:MZ28)</f>
        <v>0</v>
      </c>
      <c r="NA29" s="34">
        <f t="shared" ref="NA29" ca="1" si="320">nbColor(NA3:NA28)</f>
        <v>0</v>
      </c>
      <c r="NB29" s="39">
        <f t="shared" ref="NB29" ca="1" si="321">nbColor(NB3:NB28)</f>
        <v>0</v>
      </c>
      <c r="NC29" s="4"/>
      <c r="ND29" s="4"/>
      <c r="NE29" s="4"/>
      <c r="NF29" s="4"/>
      <c r="NG29" s="4"/>
      <c r="NH29" s="4"/>
      <c r="NI29" s="4"/>
      <c r="NJ29" s="4"/>
      <c r="NK29" s="4"/>
      <c r="NL29" s="4"/>
      <c r="NM29" s="4"/>
      <c r="NN29" s="4"/>
      <c r="NO29" s="4"/>
      <c r="NP29" s="4"/>
      <c r="NQ29" s="4"/>
      <c r="NR29" s="4"/>
      <c r="NS29" s="4"/>
      <c r="NT29" s="4"/>
      <c r="NU29" s="4"/>
      <c r="NV29" s="4"/>
      <c r="NW29" s="36"/>
    </row>
  </sheetData>
  <mergeCells count="14">
    <mergeCell ref="A1:A3"/>
    <mergeCell ref="NC1:NC3"/>
    <mergeCell ref="GA1:HE1"/>
    <mergeCell ref="HF1:IJ1"/>
    <mergeCell ref="IK1:JN1"/>
    <mergeCell ref="JO1:KS1"/>
    <mergeCell ref="KT1:LW1"/>
    <mergeCell ref="LX1:NB1"/>
    <mergeCell ref="B1:AF1"/>
    <mergeCell ref="AG1:BH1"/>
    <mergeCell ref="BI1:CM1"/>
    <mergeCell ref="CN1:DQ1"/>
    <mergeCell ref="DR1:EV1"/>
    <mergeCell ref="EW1:FZ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edit2">
                <anchor moveWithCells="1" sizeWithCells="1">
                  <from>
                    <xdr:col>8</xdr:col>
                    <xdr:colOff>85725</xdr:colOff>
                    <xdr:row>29</xdr:row>
                    <xdr:rowOff>190500</xdr:rowOff>
                  </from>
                  <to>
                    <xdr:col>15</xdr:col>
                    <xdr:colOff>66675</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173CF-CB3B-3C49-9E4F-10BE92772E78}">
  <sheetPr codeName="Feuil3"/>
  <dimension ref="A1:AB27"/>
  <sheetViews>
    <sheetView workbookViewId="0">
      <selection activeCell="E15" sqref="E15"/>
    </sheetView>
  </sheetViews>
  <sheetFormatPr baseColWidth="10" defaultRowHeight="15.75" x14ac:dyDescent="0.25"/>
  <sheetData>
    <row r="1" spans="1:28" x14ac:dyDescent="0.25">
      <c r="E1" s="151" t="s">
        <v>161</v>
      </c>
      <c r="F1" s="151"/>
      <c r="G1" s="151" t="s">
        <v>162</v>
      </c>
      <c r="H1" s="151"/>
      <c r="I1" s="151" t="s">
        <v>163</v>
      </c>
      <c r="J1" s="151"/>
      <c r="K1" s="151" t="s">
        <v>164</v>
      </c>
      <c r="L1" s="151"/>
      <c r="M1" s="151" t="s">
        <v>165</v>
      </c>
      <c r="N1" s="151"/>
      <c r="O1" s="151" t="s">
        <v>166</v>
      </c>
      <c r="P1" s="151"/>
      <c r="Q1" s="151" t="s">
        <v>167</v>
      </c>
      <c r="R1" s="151"/>
      <c r="S1" s="151" t="s">
        <v>168</v>
      </c>
      <c r="T1" s="151"/>
      <c r="U1" s="151" t="s">
        <v>169</v>
      </c>
      <c r="V1" s="151"/>
      <c r="W1" s="151" t="s">
        <v>170</v>
      </c>
      <c r="X1" s="151"/>
      <c r="Y1" s="151" t="s">
        <v>171</v>
      </c>
      <c r="Z1" s="151"/>
      <c r="AA1" s="151" t="s">
        <v>172</v>
      </c>
      <c r="AB1" s="151"/>
    </row>
    <row r="2" spans="1:28" x14ac:dyDescent="0.25">
      <c r="A2" s="2" t="s">
        <v>173</v>
      </c>
      <c r="B2" s="2" t="s">
        <v>174</v>
      </c>
      <c r="C2" s="2" t="s">
        <v>175</v>
      </c>
      <c r="D2" s="2" t="s">
        <v>176</v>
      </c>
      <c r="E2" s="2" t="s">
        <v>177</v>
      </c>
      <c r="F2" s="2" t="s">
        <v>178</v>
      </c>
      <c r="G2" s="2" t="s">
        <v>177</v>
      </c>
      <c r="H2" s="2" t="s">
        <v>178</v>
      </c>
      <c r="I2" s="2" t="s">
        <v>177</v>
      </c>
      <c r="J2" s="2" t="s">
        <v>178</v>
      </c>
      <c r="K2" s="2" t="s">
        <v>177</v>
      </c>
      <c r="L2" s="2" t="s">
        <v>178</v>
      </c>
      <c r="M2" s="2" t="s">
        <v>177</v>
      </c>
      <c r="N2" s="2" t="s">
        <v>178</v>
      </c>
      <c r="O2" s="2" t="s">
        <v>177</v>
      </c>
      <c r="P2" s="2" t="s">
        <v>178</v>
      </c>
      <c r="Q2" s="2" t="s">
        <v>177</v>
      </c>
      <c r="R2" s="2" t="s">
        <v>178</v>
      </c>
      <c r="S2" s="2" t="s">
        <v>177</v>
      </c>
      <c r="T2" s="2" t="s">
        <v>178</v>
      </c>
      <c r="U2" s="2" t="s">
        <v>177</v>
      </c>
      <c r="V2" s="2" t="s">
        <v>178</v>
      </c>
      <c r="W2" s="2" t="s">
        <v>177</v>
      </c>
      <c r="X2" s="2" t="s">
        <v>178</v>
      </c>
      <c r="Y2" s="2" t="s">
        <v>177</v>
      </c>
      <c r="Z2" s="2" t="s">
        <v>178</v>
      </c>
      <c r="AA2" s="2" t="s">
        <v>177</v>
      </c>
      <c r="AB2" s="2" t="s">
        <v>178</v>
      </c>
    </row>
    <row r="3" spans="1:28" x14ac:dyDescent="0.25">
      <c r="A3" s="130" t="s">
        <v>9</v>
      </c>
      <c r="B3" s="130"/>
      <c r="C3" s="130"/>
      <c r="D3" s="130"/>
      <c r="E3" s="2"/>
      <c r="F3" s="2"/>
      <c r="G3" s="2"/>
      <c r="H3" s="2"/>
      <c r="I3" s="2"/>
      <c r="J3" s="2"/>
      <c r="K3" s="2"/>
      <c r="L3" s="2"/>
      <c r="M3" s="2"/>
      <c r="N3" s="2"/>
      <c r="O3" s="2"/>
      <c r="P3" s="2"/>
      <c r="Q3" s="2"/>
      <c r="R3" s="2"/>
      <c r="S3" s="2"/>
      <c r="T3" s="2"/>
      <c r="U3" s="2"/>
      <c r="V3" s="2"/>
      <c r="W3" s="2"/>
      <c r="X3" s="2"/>
      <c r="Y3" s="2"/>
      <c r="Z3" s="2"/>
      <c r="AA3" s="2"/>
      <c r="AB3" s="2"/>
    </row>
    <row r="4" spans="1:28" x14ac:dyDescent="0.25">
      <c r="A4" s="131" t="s">
        <v>5</v>
      </c>
      <c r="B4" s="131"/>
      <c r="C4" s="131"/>
      <c r="D4" s="131"/>
      <c r="E4" s="2"/>
      <c r="F4" s="2"/>
      <c r="G4" s="2"/>
      <c r="H4" s="2"/>
      <c r="I4" s="2"/>
      <c r="J4" s="2"/>
      <c r="K4" s="2"/>
      <c r="L4" s="2"/>
      <c r="M4" s="2"/>
      <c r="N4" s="2"/>
      <c r="O4" s="2"/>
      <c r="P4" s="2"/>
      <c r="Q4" s="2"/>
      <c r="R4" s="2"/>
      <c r="S4" s="2"/>
      <c r="T4" s="2"/>
      <c r="U4" s="2"/>
      <c r="V4" s="2"/>
      <c r="W4" s="2"/>
      <c r="X4" s="2"/>
      <c r="Y4" s="2"/>
      <c r="Z4" s="2"/>
      <c r="AA4" s="2"/>
      <c r="AB4" s="2"/>
    </row>
    <row r="5" spans="1:28" x14ac:dyDescent="0.25">
      <c r="A5" s="132" t="s">
        <v>17</v>
      </c>
      <c r="B5" s="132"/>
      <c r="C5" s="132"/>
      <c r="D5" s="132"/>
      <c r="E5" s="2"/>
      <c r="F5" s="2"/>
      <c r="G5" s="2"/>
      <c r="H5" s="2"/>
      <c r="I5" s="2"/>
      <c r="J5" s="2"/>
      <c r="K5" s="2"/>
      <c r="L5" s="2"/>
      <c r="M5" s="2"/>
      <c r="N5" s="2"/>
      <c r="O5" s="2"/>
      <c r="P5" s="2"/>
      <c r="Q5" s="2"/>
      <c r="R5" s="2"/>
      <c r="S5" s="2"/>
      <c r="T5" s="2"/>
      <c r="U5" s="2"/>
      <c r="V5" s="2"/>
      <c r="W5" s="2"/>
      <c r="X5" s="2"/>
      <c r="Y5" s="2"/>
      <c r="Z5" s="2"/>
      <c r="AA5" s="2"/>
      <c r="AB5" s="2"/>
    </row>
    <row r="6" spans="1:28" x14ac:dyDescent="0.25">
      <c r="A6" s="132" t="s">
        <v>1</v>
      </c>
      <c r="B6" s="132"/>
      <c r="C6" s="132"/>
      <c r="D6" s="132"/>
      <c r="E6" s="2"/>
      <c r="F6" s="2"/>
      <c r="G6" s="2"/>
      <c r="H6" s="2"/>
      <c r="I6" s="2"/>
      <c r="J6" s="2"/>
      <c r="K6" s="2"/>
      <c r="L6" s="2"/>
      <c r="M6" s="2"/>
      <c r="N6" s="2"/>
      <c r="O6" s="2"/>
      <c r="P6" s="2"/>
      <c r="Q6" s="2"/>
      <c r="R6" s="2"/>
      <c r="S6" s="2"/>
      <c r="T6" s="2"/>
      <c r="U6" s="2"/>
      <c r="V6" s="2"/>
      <c r="W6" s="2"/>
      <c r="X6" s="2"/>
      <c r="Y6" s="2"/>
      <c r="Z6" s="2"/>
      <c r="AA6" s="2"/>
      <c r="AB6" s="2"/>
    </row>
    <row r="7" spans="1:28" x14ac:dyDescent="0.25">
      <c r="A7" s="133" t="s">
        <v>8</v>
      </c>
      <c r="B7" s="133"/>
      <c r="C7" s="133"/>
      <c r="D7" s="133"/>
      <c r="E7" s="2"/>
      <c r="F7" s="2"/>
      <c r="G7" s="2"/>
      <c r="H7" s="2"/>
      <c r="I7" s="2"/>
      <c r="J7" s="2"/>
      <c r="K7" s="2"/>
      <c r="L7" s="2"/>
      <c r="M7" s="2"/>
      <c r="N7" s="2"/>
      <c r="O7" s="2"/>
      <c r="P7" s="2"/>
      <c r="Q7" s="2"/>
      <c r="R7" s="2"/>
      <c r="S7" s="2"/>
      <c r="T7" s="2"/>
      <c r="U7" s="2"/>
      <c r="V7" s="2"/>
      <c r="W7" s="2"/>
      <c r="X7" s="2"/>
      <c r="Y7" s="2"/>
      <c r="Z7" s="2"/>
      <c r="AA7" s="2"/>
      <c r="AB7" s="2"/>
    </row>
    <row r="8" spans="1:28" x14ac:dyDescent="0.25">
      <c r="A8" s="133" t="s">
        <v>7</v>
      </c>
      <c r="B8" s="133"/>
      <c r="C8" s="133"/>
      <c r="D8" s="133"/>
      <c r="E8" s="2"/>
      <c r="F8" s="2"/>
      <c r="G8" s="2"/>
      <c r="H8" s="2"/>
      <c r="I8" s="2"/>
      <c r="J8" s="2"/>
      <c r="K8" s="2"/>
      <c r="L8" s="2"/>
      <c r="M8" s="2"/>
      <c r="N8" s="2"/>
      <c r="O8" s="2"/>
      <c r="P8" s="2"/>
      <c r="Q8" s="2"/>
      <c r="R8" s="2"/>
      <c r="S8" s="2"/>
      <c r="T8" s="2"/>
      <c r="U8" s="2"/>
      <c r="V8" s="2"/>
      <c r="W8" s="2"/>
      <c r="X8" s="2"/>
      <c r="Y8" s="2"/>
      <c r="Z8" s="2"/>
      <c r="AA8" s="2"/>
      <c r="AB8" s="2"/>
    </row>
    <row r="9" spans="1:28" x14ac:dyDescent="0.25">
      <c r="A9" s="134" t="s">
        <v>16</v>
      </c>
      <c r="B9" s="135">
        <v>16.48</v>
      </c>
      <c r="C9" s="135">
        <v>35</v>
      </c>
      <c r="D9" s="134" t="s">
        <v>179</v>
      </c>
      <c r="E9" s="2">
        <f>35+35+35+35</f>
        <v>140</v>
      </c>
      <c r="F9" s="2">
        <f>E9*B9</f>
        <v>2307.2000000000003</v>
      </c>
      <c r="G9" s="2"/>
      <c r="H9" s="2"/>
      <c r="I9" s="2"/>
      <c r="J9" s="2"/>
      <c r="K9" s="2"/>
      <c r="L9" s="2"/>
      <c r="M9" s="2"/>
      <c r="N9" s="2"/>
      <c r="O9" s="2"/>
      <c r="P9" s="2"/>
      <c r="Q9" s="2"/>
      <c r="R9" s="2"/>
      <c r="S9" s="2"/>
      <c r="T9" s="2"/>
      <c r="U9" s="2"/>
      <c r="V9" s="2"/>
      <c r="W9" s="2"/>
      <c r="X9" s="2"/>
      <c r="Y9" s="2"/>
      <c r="Z9" s="2"/>
      <c r="AA9" s="2"/>
      <c r="AB9" s="2"/>
    </row>
    <row r="10" spans="1:28" x14ac:dyDescent="0.25">
      <c r="A10" s="134" t="s">
        <v>0</v>
      </c>
      <c r="B10" s="134"/>
      <c r="C10" s="134"/>
      <c r="D10" s="134"/>
      <c r="E10" s="2"/>
      <c r="F10" s="2"/>
      <c r="G10" s="2"/>
      <c r="H10" s="2"/>
      <c r="I10" s="2"/>
      <c r="J10" s="2"/>
      <c r="K10" s="2"/>
      <c r="L10" s="2"/>
      <c r="M10" s="2"/>
      <c r="N10" s="2"/>
      <c r="O10" s="2"/>
      <c r="P10" s="2"/>
      <c r="Q10" s="2"/>
      <c r="R10" s="2"/>
      <c r="S10" s="2"/>
      <c r="T10" s="2"/>
      <c r="U10" s="2"/>
      <c r="V10" s="2"/>
      <c r="W10" s="2"/>
      <c r="X10" s="2"/>
      <c r="Y10" s="2"/>
      <c r="Z10" s="2"/>
      <c r="AA10" s="2"/>
      <c r="AB10" s="2"/>
    </row>
    <row r="11" spans="1:28" x14ac:dyDescent="0.25">
      <c r="A11" s="136" t="s">
        <v>18</v>
      </c>
      <c r="B11" s="136"/>
      <c r="C11" s="136"/>
      <c r="D11" s="136"/>
      <c r="E11" s="2"/>
      <c r="F11" s="2"/>
      <c r="G11" s="2"/>
      <c r="H11" s="2"/>
      <c r="I11" s="2"/>
      <c r="J11" s="2"/>
      <c r="K11" s="2"/>
      <c r="L11" s="2"/>
      <c r="M11" s="2"/>
      <c r="N11" s="2"/>
      <c r="O11" s="2"/>
      <c r="P11" s="2"/>
      <c r="Q11" s="2"/>
      <c r="R11" s="2"/>
      <c r="S11" s="2"/>
      <c r="T11" s="2"/>
      <c r="U11" s="2"/>
      <c r="V11" s="2"/>
      <c r="W11" s="2"/>
      <c r="X11" s="2"/>
      <c r="Y11" s="2"/>
      <c r="Z11" s="2"/>
      <c r="AA11" s="2"/>
      <c r="AB11" s="2"/>
    </row>
    <row r="12" spans="1:28" x14ac:dyDescent="0.25">
      <c r="A12" s="136" t="s">
        <v>2</v>
      </c>
      <c r="B12" s="136"/>
      <c r="C12" s="136"/>
      <c r="D12" s="136"/>
      <c r="E12" s="2"/>
      <c r="F12" s="2"/>
      <c r="G12" s="2"/>
      <c r="H12" s="2"/>
      <c r="I12" s="2"/>
      <c r="J12" s="2"/>
      <c r="K12" s="2"/>
      <c r="L12" s="2"/>
      <c r="M12" s="2"/>
      <c r="N12" s="2"/>
      <c r="O12" s="2"/>
      <c r="P12" s="2"/>
      <c r="Q12" s="2"/>
      <c r="R12" s="2"/>
      <c r="S12" s="2"/>
      <c r="T12" s="2"/>
      <c r="U12" s="2"/>
      <c r="V12" s="2"/>
      <c r="W12" s="2"/>
      <c r="X12" s="2"/>
      <c r="Y12" s="2"/>
      <c r="Z12" s="2"/>
      <c r="AA12" s="2"/>
      <c r="AB12" s="2"/>
    </row>
    <row r="13" spans="1:28" x14ac:dyDescent="0.25">
      <c r="A13" s="137" t="s">
        <v>15</v>
      </c>
      <c r="B13" s="137"/>
      <c r="C13" s="137"/>
      <c r="D13" s="137"/>
      <c r="E13" s="2"/>
      <c r="F13" s="2"/>
      <c r="G13" s="2"/>
      <c r="H13" s="2"/>
      <c r="I13" s="2"/>
      <c r="J13" s="2"/>
      <c r="K13" s="2"/>
      <c r="L13" s="2"/>
      <c r="M13" s="2"/>
      <c r="N13" s="2"/>
      <c r="O13" s="2"/>
      <c r="P13" s="2"/>
      <c r="Q13" s="2"/>
      <c r="R13" s="2"/>
      <c r="S13" s="2"/>
      <c r="T13" s="2"/>
      <c r="U13" s="2"/>
      <c r="V13" s="2"/>
      <c r="W13" s="2"/>
      <c r="X13" s="2"/>
      <c r="Y13" s="2"/>
      <c r="Z13" s="2"/>
      <c r="AA13" s="2"/>
      <c r="AB13" s="2"/>
    </row>
    <row r="14" spans="1:28" x14ac:dyDescent="0.25">
      <c r="A14" s="137" t="s">
        <v>38</v>
      </c>
      <c r="B14" s="137"/>
      <c r="C14" s="137"/>
      <c r="D14" s="137"/>
      <c r="E14" s="2"/>
      <c r="F14" s="2"/>
      <c r="G14" s="2"/>
      <c r="H14" s="2"/>
      <c r="I14" s="2"/>
      <c r="J14" s="2"/>
      <c r="K14" s="2"/>
      <c r="L14" s="2"/>
      <c r="M14" s="2"/>
      <c r="N14" s="2"/>
      <c r="O14" s="2"/>
      <c r="P14" s="2"/>
      <c r="Q14" s="2"/>
      <c r="R14" s="2"/>
      <c r="S14" s="2"/>
      <c r="T14" s="2"/>
      <c r="U14" s="2"/>
      <c r="V14" s="2"/>
      <c r="W14" s="2"/>
      <c r="X14" s="2"/>
      <c r="Y14" s="2"/>
      <c r="Z14" s="2"/>
      <c r="AA14" s="2"/>
      <c r="AB14" s="2"/>
    </row>
    <row r="15" spans="1:28" x14ac:dyDescent="0.25">
      <c r="A15" s="137" t="s">
        <v>3</v>
      </c>
      <c r="B15" s="137"/>
      <c r="C15" s="137"/>
      <c r="D15" s="137"/>
      <c r="E15" s="2"/>
      <c r="F15" s="2"/>
      <c r="G15" s="2"/>
      <c r="H15" s="2"/>
      <c r="I15" s="2"/>
      <c r="J15" s="2"/>
      <c r="K15" s="2"/>
      <c r="L15" s="2"/>
      <c r="M15" s="2"/>
      <c r="N15" s="2"/>
      <c r="O15" s="2"/>
      <c r="P15" s="2"/>
      <c r="Q15" s="2"/>
      <c r="R15" s="2"/>
      <c r="S15" s="2"/>
      <c r="T15" s="2"/>
      <c r="U15" s="2"/>
      <c r="V15" s="2"/>
      <c r="W15" s="2"/>
      <c r="X15" s="2"/>
      <c r="Y15" s="2"/>
      <c r="Z15" s="2"/>
      <c r="AA15" s="2"/>
      <c r="AB15" s="2"/>
    </row>
    <row r="16" spans="1:28" x14ac:dyDescent="0.25">
      <c r="A16" s="137" t="s">
        <v>6</v>
      </c>
      <c r="B16" s="137"/>
      <c r="C16" s="137"/>
      <c r="D16" s="137"/>
      <c r="E16" s="2"/>
      <c r="F16" s="2"/>
      <c r="G16" s="2"/>
      <c r="H16" s="2"/>
      <c r="I16" s="2"/>
      <c r="J16" s="2"/>
      <c r="K16" s="2"/>
      <c r="L16" s="2"/>
      <c r="M16" s="2"/>
      <c r="N16" s="2"/>
      <c r="O16" s="2"/>
      <c r="P16" s="2"/>
      <c r="Q16" s="2"/>
      <c r="R16" s="2"/>
      <c r="S16" s="2"/>
      <c r="T16" s="2"/>
      <c r="U16" s="2"/>
      <c r="V16" s="2"/>
      <c r="W16" s="2"/>
      <c r="X16" s="2"/>
      <c r="Y16" s="2"/>
      <c r="Z16" s="2"/>
      <c r="AA16" s="2"/>
      <c r="AB16" s="2"/>
    </row>
    <row r="17" spans="1:28" x14ac:dyDescent="0.25">
      <c r="A17" s="137" t="s">
        <v>39</v>
      </c>
      <c r="B17" s="137"/>
      <c r="C17" s="137"/>
      <c r="D17" s="137"/>
      <c r="E17" s="2"/>
      <c r="F17" s="2"/>
      <c r="G17" s="2"/>
      <c r="H17" s="2"/>
      <c r="I17" s="2"/>
      <c r="J17" s="2"/>
      <c r="K17" s="2"/>
      <c r="L17" s="2"/>
      <c r="M17" s="2"/>
      <c r="N17" s="2"/>
      <c r="O17" s="2"/>
      <c r="P17" s="2"/>
      <c r="Q17" s="2"/>
      <c r="R17" s="2"/>
      <c r="S17" s="2"/>
      <c r="T17" s="2"/>
      <c r="U17" s="2"/>
      <c r="V17" s="2"/>
      <c r="W17" s="2"/>
      <c r="X17" s="2"/>
      <c r="Y17" s="2"/>
      <c r="Z17" s="2"/>
      <c r="AA17" s="2"/>
      <c r="AB17" s="2"/>
    </row>
    <row r="18" spans="1:28" x14ac:dyDescent="0.25">
      <c r="A18" s="137" t="s">
        <v>12</v>
      </c>
      <c r="B18" s="137"/>
      <c r="C18" s="137"/>
      <c r="D18" s="137"/>
      <c r="E18" s="2"/>
      <c r="F18" s="2"/>
      <c r="G18" s="2"/>
      <c r="H18" s="2"/>
      <c r="I18" s="2"/>
      <c r="J18" s="2"/>
      <c r="K18" s="2"/>
      <c r="L18" s="2"/>
      <c r="M18" s="2"/>
      <c r="N18" s="2"/>
      <c r="O18" s="2"/>
      <c r="P18" s="2"/>
      <c r="Q18" s="2"/>
      <c r="R18" s="2"/>
      <c r="S18" s="2"/>
      <c r="T18" s="2"/>
      <c r="U18" s="2"/>
      <c r="V18" s="2"/>
      <c r="W18" s="2"/>
      <c r="X18" s="2"/>
      <c r="Y18" s="2"/>
      <c r="Z18" s="2"/>
      <c r="AA18" s="2"/>
      <c r="AB18" s="2"/>
    </row>
    <row r="19" spans="1:28" x14ac:dyDescent="0.25">
      <c r="A19" s="137" t="s">
        <v>14</v>
      </c>
      <c r="B19" s="137"/>
      <c r="C19" s="137"/>
      <c r="D19" s="137"/>
      <c r="E19" s="2"/>
      <c r="F19" s="2"/>
      <c r="G19" s="2"/>
      <c r="H19" s="2"/>
      <c r="I19" s="2"/>
      <c r="J19" s="2"/>
      <c r="K19" s="2"/>
      <c r="L19" s="2"/>
      <c r="M19" s="2"/>
      <c r="N19" s="2"/>
      <c r="O19" s="2"/>
      <c r="P19" s="2"/>
      <c r="Q19" s="2"/>
      <c r="R19" s="2"/>
      <c r="S19" s="2"/>
      <c r="T19" s="2"/>
      <c r="U19" s="2"/>
      <c r="V19" s="2"/>
      <c r="W19" s="2"/>
      <c r="X19" s="2"/>
      <c r="Y19" s="2"/>
      <c r="Z19" s="2"/>
      <c r="AA19" s="2"/>
      <c r="AB19" s="2"/>
    </row>
    <row r="20" spans="1:28" x14ac:dyDescent="0.25">
      <c r="A20" s="138" t="s">
        <v>4</v>
      </c>
      <c r="B20" s="138"/>
      <c r="C20" s="138"/>
      <c r="D20" s="138"/>
      <c r="E20" s="2"/>
      <c r="F20" s="2"/>
      <c r="G20" s="2"/>
      <c r="H20" s="2"/>
      <c r="I20" s="2"/>
      <c r="J20" s="2"/>
      <c r="K20" s="2"/>
      <c r="L20" s="2"/>
      <c r="M20" s="2"/>
      <c r="N20" s="2"/>
      <c r="O20" s="2"/>
      <c r="P20" s="2"/>
      <c r="Q20" s="2"/>
      <c r="R20" s="2"/>
      <c r="S20" s="2"/>
      <c r="T20" s="2"/>
      <c r="U20" s="2"/>
      <c r="V20" s="2"/>
      <c r="W20" s="2"/>
      <c r="X20" s="2"/>
      <c r="Y20" s="2"/>
      <c r="Z20" s="2"/>
      <c r="AA20" s="2"/>
      <c r="AB20" s="2"/>
    </row>
    <row r="21" spans="1:28" x14ac:dyDescent="0.25">
      <c r="A21" s="137" t="s">
        <v>40</v>
      </c>
      <c r="B21" s="137"/>
      <c r="C21" s="137"/>
      <c r="D21" s="137"/>
      <c r="E21" s="2"/>
      <c r="F21" s="2"/>
      <c r="G21" s="2"/>
      <c r="H21" s="2"/>
      <c r="I21" s="2"/>
      <c r="J21" s="2"/>
      <c r="K21" s="2"/>
      <c r="L21" s="2"/>
      <c r="M21" s="2"/>
      <c r="N21" s="2"/>
      <c r="O21" s="2"/>
      <c r="P21" s="2"/>
      <c r="Q21" s="2"/>
      <c r="R21" s="2"/>
      <c r="S21" s="2"/>
      <c r="T21" s="2"/>
      <c r="U21" s="2"/>
      <c r="V21" s="2"/>
      <c r="W21" s="2"/>
      <c r="X21" s="2"/>
      <c r="Y21" s="2"/>
      <c r="Z21" s="2"/>
      <c r="AA21" s="2"/>
      <c r="AB21" s="2"/>
    </row>
    <row r="22" spans="1:28" x14ac:dyDescent="0.25">
      <c r="A22" s="137" t="s">
        <v>41</v>
      </c>
      <c r="B22" s="137"/>
      <c r="C22" s="137"/>
      <c r="D22" s="137"/>
      <c r="E22" s="2"/>
      <c r="F22" s="2"/>
      <c r="G22" s="2"/>
      <c r="H22" s="2"/>
      <c r="I22" s="2"/>
      <c r="J22" s="2"/>
      <c r="K22" s="2"/>
      <c r="L22" s="2"/>
      <c r="M22" s="2"/>
      <c r="N22" s="2"/>
      <c r="O22" s="2"/>
      <c r="P22" s="2"/>
      <c r="Q22" s="2"/>
      <c r="R22" s="2"/>
      <c r="S22" s="2"/>
      <c r="T22" s="2"/>
      <c r="U22" s="2"/>
      <c r="V22" s="2"/>
      <c r="W22" s="2"/>
      <c r="X22" s="2"/>
      <c r="Y22" s="2"/>
      <c r="Z22" s="2"/>
      <c r="AA22" s="2"/>
      <c r="AB22" s="2"/>
    </row>
    <row r="23" spans="1:28" x14ac:dyDescent="0.25">
      <c r="A23" s="137" t="s">
        <v>42</v>
      </c>
      <c r="B23" s="137"/>
      <c r="C23" s="137"/>
      <c r="D23" s="137"/>
      <c r="E23" s="2"/>
      <c r="F23" s="2"/>
      <c r="G23" s="2"/>
      <c r="H23" s="2"/>
      <c r="I23" s="2"/>
      <c r="J23" s="2"/>
      <c r="K23" s="2"/>
      <c r="L23" s="2"/>
      <c r="M23" s="2"/>
      <c r="N23" s="2"/>
      <c r="O23" s="2"/>
      <c r="P23" s="2"/>
      <c r="Q23" s="2"/>
      <c r="R23" s="2"/>
      <c r="S23" s="2"/>
      <c r="T23" s="2"/>
      <c r="U23" s="2"/>
      <c r="V23" s="2"/>
      <c r="W23" s="2"/>
      <c r="X23" s="2"/>
      <c r="Y23" s="2"/>
      <c r="Z23" s="2"/>
      <c r="AA23" s="2"/>
      <c r="AB23" s="2"/>
    </row>
    <row r="24" spans="1:28" x14ac:dyDescent="0.25">
      <c r="A24" s="139" t="s">
        <v>19</v>
      </c>
      <c r="B24" s="139"/>
      <c r="C24" s="139"/>
      <c r="D24" s="139"/>
      <c r="E24" s="2"/>
      <c r="F24" s="2"/>
      <c r="G24" s="2"/>
      <c r="H24" s="2"/>
      <c r="I24" s="2"/>
      <c r="J24" s="2"/>
      <c r="K24" s="2"/>
      <c r="L24" s="2"/>
      <c r="M24" s="2"/>
      <c r="N24" s="2"/>
      <c r="O24" s="2"/>
      <c r="P24" s="2"/>
      <c r="Q24" s="2"/>
      <c r="R24" s="2"/>
      <c r="S24" s="2"/>
      <c r="T24" s="2"/>
      <c r="U24" s="2"/>
      <c r="V24" s="2"/>
      <c r="W24" s="2"/>
      <c r="X24" s="2"/>
      <c r="Y24" s="2"/>
      <c r="Z24" s="2"/>
      <c r="AA24" s="2"/>
      <c r="AB24" s="2"/>
    </row>
    <row r="25" spans="1:28" x14ac:dyDescent="0.25">
      <c r="A25" s="139" t="s">
        <v>10</v>
      </c>
      <c r="B25" s="139"/>
      <c r="C25" s="139"/>
      <c r="D25" s="139"/>
      <c r="E25" s="2"/>
      <c r="F25" s="2"/>
      <c r="G25" s="2"/>
      <c r="H25" s="2"/>
      <c r="I25" s="2"/>
      <c r="J25" s="2"/>
      <c r="K25" s="2"/>
      <c r="L25" s="2"/>
      <c r="M25" s="2"/>
      <c r="N25" s="2"/>
      <c r="O25" s="2"/>
      <c r="P25" s="2"/>
      <c r="Q25" s="2"/>
      <c r="R25" s="2"/>
      <c r="S25" s="2"/>
      <c r="T25" s="2"/>
      <c r="U25" s="2"/>
      <c r="V25" s="2"/>
      <c r="W25" s="2"/>
      <c r="X25" s="2"/>
      <c r="Y25" s="2"/>
      <c r="Z25" s="2"/>
      <c r="AA25" s="2"/>
      <c r="AB25" s="2"/>
    </row>
    <row r="26" spans="1:28" x14ac:dyDescent="0.25">
      <c r="A26" s="139" t="s">
        <v>13</v>
      </c>
      <c r="B26" s="139"/>
      <c r="C26" s="139"/>
      <c r="D26" s="139"/>
      <c r="E26" s="2"/>
      <c r="F26" s="2"/>
      <c r="G26" s="2"/>
      <c r="H26" s="2"/>
      <c r="I26" s="2"/>
      <c r="J26" s="2"/>
      <c r="K26" s="2"/>
      <c r="L26" s="2"/>
      <c r="M26" s="2"/>
      <c r="N26" s="2"/>
      <c r="O26" s="2"/>
      <c r="P26" s="2"/>
      <c r="Q26" s="2"/>
      <c r="R26" s="2"/>
      <c r="S26" s="2"/>
      <c r="T26" s="2"/>
      <c r="U26" s="2"/>
      <c r="V26" s="2"/>
      <c r="W26" s="2"/>
      <c r="X26" s="2"/>
      <c r="Y26" s="2"/>
      <c r="Z26" s="2"/>
      <c r="AA26" s="2"/>
      <c r="AB26" s="2"/>
    </row>
    <row r="27" spans="1:28" x14ac:dyDescent="0.25">
      <c r="A27" s="139" t="s">
        <v>11</v>
      </c>
      <c r="B27" s="139"/>
      <c r="C27" s="139"/>
      <c r="D27" s="139"/>
      <c r="E27" s="2"/>
      <c r="F27" s="2"/>
      <c r="G27" s="2"/>
      <c r="H27" s="2"/>
      <c r="I27" s="2"/>
      <c r="J27" s="2"/>
      <c r="K27" s="2"/>
      <c r="L27" s="2"/>
      <c r="M27" s="2"/>
      <c r="N27" s="2"/>
      <c r="O27" s="2"/>
      <c r="P27" s="2"/>
      <c r="Q27" s="2"/>
      <c r="R27" s="2"/>
      <c r="S27" s="2"/>
      <c r="T27" s="2"/>
      <c r="U27" s="2"/>
      <c r="V27" s="2"/>
      <c r="W27" s="2"/>
      <c r="X27" s="2"/>
      <c r="Y27" s="2"/>
      <c r="Z27" s="2"/>
      <c r="AA27" s="2"/>
      <c r="AB27" s="2"/>
    </row>
  </sheetData>
  <mergeCells count="12">
    <mergeCell ref="AA1:AB1"/>
    <mergeCell ref="E1:F1"/>
    <mergeCell ref="G1:H1"/>
    <mergeCell ref="I1:J1"/>
    <mergeCell ref="K1:L1"/>
    <mergeCell ref="M1:N1"/>
    <mergeCell ref="O1:P1"/>
    <mergeCell ref="Q1:R1"/>
    <mergeCell ref="S1:T1"/>
    <mergeCell ref="U1:V1"/>
    <mergeCell ref="W1:X1"/>
    <mergeCell ref="Y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Notice</vt:lpstr>
      <vt:lpstr>Données</vt:lpstr>
      <vt:lpstr>Modèle</vt:lpstr>
      <vt:lpstr>Congés</vt:lpstr>
      <vt:lpstr>Données de paie</vt:lpstr>
      <vt:lpstr>toto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Utilisateur Microsoft Office</dc:creator>
  <cp:lastModifiedBy>Adrien</cp:lastModifiedBy>
  <dcterms:created xsi:type="dcterms:W3CDTF">2021-10-21T15:29:25Z</dcterms:created>
  <dcterms:modified xsi:type="dcterms:W3CDTF">2022-01-24T20:42:56Z</dcterms:modified>
</cp:coreProperties>
</file>